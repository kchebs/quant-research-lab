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vincheberenchick/Desktop/kevin/investment_strategy_Python/"/>
    </mc:Choice>
  </mc:AlternateContent>
  <xr:revisionPtr revIDLastSave="0" documentId="13_ncr:1_{9B7209E7-6C94-3A4F-A914-EFB481BF7423}" xr6:coauthVersionLast="46" xr6:coauthVersionMax="46" xr10:uidLastSave="{00000000-0000-0000-0000-000000000000}"/>
  <bookViews>
    <workbookView xWindow="16660" yWindow="500" windowWidth="16940" windowHeight="19840" xr2:uid="{00000000-000D-0000-FFFF-FFFF00000000}"/>
  </bookViews>
  <sheets>
    <sheet name="2020_12" sheetId="1" r:id="rId1"/>
    <sheet name="Sheet1" sheetId="2" r:id="rId2"/>
    <sheet name="Sheet2" sheetId="3" r:id="rId3"/>
  </sheets>
  <definedNames>
    <definedName name="_xlnm._FilterDatabase" localSheetId="0" hidden="1">'2020_12'!$A$1:$AB$1121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3" l="1"/>
  <c r="C32" i="2"/>
  <c r="C4" i="2"/>
  <c r="C3" i="2"/>
  <c r="C2" i="2"/>
  <c r="W384" i="1"/>
  <c r="W331" i="1"/>
  <c r="W329" i="1"/>
  <c r="W323" i="1"/>
  <c r="W314" i="1"/>
  <c r="W360" i="1"/>
  <c r="W350" i="1"/>
  <c r="D383" i="1"/>
  <c r="D305" i="1"/>
  <c r="D314" i="1"/>
  <c r="D323" i="1"/>
  <c r="D350" i="1"/>
  <c r="D396" i="1"/>
  <c r="D384" i="1"/>
  <c r="D329" i="1"/>
  <c r="D360" i="1"/>
  <c r="D331" i="1"/>
  <c r="D342" i="1"/>
</calcChain>
</file>

<file path=xl/sharedStrings.xml><?xml version="1.0" encoding="utf-8"?>
<sst xmlns="http://schemas.openxmlformats.org/spreadsheetml/2006/main" count="5725" uniqueCount="2494">
  <si>
    <t>ticker</t>
  </si>
  <si>
    <t>security</t>
  </si>
  <si>
    <t>outlook</t>
  </si>
  <si>
    <t>rating</t>
  </si>
  <si>
    <t>use</t>
  </si>
  <si>
    <t>trust</t>
  </si>
  <si>
    <t>upward_trend</t>
  </si>
  <si>
    <t>outlook_date</t>
  </si>
  <si>
    <t>sector</t>
  </si>
  <si>
    <t>industry</t>
  </si>
  <si>
    <t>webscrape_date</t>
  </si>
  <si>
    <t>net_income</t>
  </si>
  <si>
    <t>ft_employee</t>
  </si>
  <si>
    <t>div_yield</t>
  </si>
  <si>
    <t>one_year</t>
  </si>
  <si>
    <t>three_year</t>
  </si>
  <si>
    <t>five_year</t>
  </si>
  <si>
    <t>ten_year</t>
  </si>
  <si>
    <t>fifteen_year</t>
  </si>
  <si>
    <t>rd</t>
  </si>
  <si>
    <t>peg</t>
  </si>
  <si>
    <t>profit_margin</t>
  </si>
  <si>
    <t>roa</t>
  </si>
  <si>
    <t>roe</t>
  </si>
  <si>
    <t>A</t>
  </si>
  <si>
    <t>Agilent Technologies</t>
  </si>
  <si>
    <t>Healthcare</t>
  </si>
  <si>
    <t>Diagnostics &amp; Research</t>
  </si>
  <si>
    <t>AA</t>
  </si>
  <si>
    <t>Alcoa</t>
  </si>
  <si>
    <t>Basic Materials</t>
  </si>
  <si>
    <t>Aluminum</t>
  </si>
  <si>
    <t>‚Äî</t>
  </si>
  <si>
    <t>AAGIY</t>
  </si>
  <si>
    <t>AIA Group</t>
  </si>
  <si>
    <t>Financial Services</t>
  </si>
  <si>
    <t>Insurance‚Äö√Ñ√ÆLife</t>
  </si>
  <si>
    <t>AAL</t>
  </si>
  <si>
    <t>American Airlines Group</t>
  </si>
  <si>
    <t>Industrials</t>
  </si>
  <si>
    <t>Airlines</t>
  </si>
  <si>
    <t>BITA</t>
  </si>
  <si>
    <t>Bitauto Holdings Limited</t>
  </si>
  <si>
    <t>Consumer Cyclical</t>
  </si>
  <si>
    <t>Advertising Agencies</t>
  </si>
  <si>
    <t>AAP</t>
  </si>
  <si>
    <t>Advance Auto Parts</t>
  </si>
  <si>
    <t>Specialty Retail</t>
  </si>
  <si>
    <t>AB</t>
  </si>
  <si>
    <t>AllianceBernstein</t>
  </si>
  <si>
    <t>Asset Management</t>
  </si>
  <si>
    <t>ABBV</t>
  </si>
  <si>
    <t>AbbVie</t>
  </si>
  <si>
    <t>yes</t>
  </si>
  <si>
    <t>Drug Manufacturers‚Äö√Ñ√ÆGeneral</t>
  </si>
  <si>
    <t>ABC</t>
  </si>
  <si>
    <t>AmerisourceBergen</t>
  </si>
  <si>
    <t>Medical Distribution</t>
  </si>
  <si>
    <t>EADSF</t>
  </si>
  <si>
    <t>Airbus</t>
  </si>
  <si>
    <t>Aerospace &amp; Defense</t>
  </si>
  <si>
    <t>ABM</t>
  </si>
  <si>
    <t>ABM Industries</t>
  </si>
  <si>
    <t>Specialty Business Services</t>
  </si>
  <si>
    <t>LLL</t>
  </si>
  <si>
    <t>L3 Technologies</t>
  </si>
  <si>
    <t>RTN</t>
  </si>
  <si>
    <t>Raytheon</t>
  </si>
  <si>
    <t>no</t>
  </si>
  <si>
    <t>ABR</t>
  </si>
  <si>
    <t>Arbor Realty Trust, Inc.</t>
  </si>
  <si>
    <t>Real Estate</t>
  </si>
  <si>
    <t>REIT‚Äö√Ñ√ÆMortgage</t>
  </si>
  <si>
    <t>ABS</t>
  </si>
  <si>
    <t>Albertsons</t>
  </si>
  <si>
    <t>ABT</t>
  </si>
  <si>
    <t>Abbott Laboratories</t>
  </si>
  <si>
    <t>Medical Devices</t>
  </si>
  <si>
    <t>TDG</t>
  </si>
  <si>
    <t>TransDigm Group</t>
  </si>
  <si>
    <t>maybe</t>
  </si>
  <si>
    <t>SAVE</t>
  </si>
  <si>
    <t>Spirit Airlines</t>
  </si>
  <si>
    <t>KORS</t>
  </si>
  <si>
    <t>Michael Kors Holdings</t>
  </si>
  <si>
    <t>Apparel Manufacturing</t>
  </si>
  <si>
    <t>ASNA</t>
  </si>
  <si>
    <t>Ascena Retail Group</t>
  </si>
  <si>
    <t>Apparel Stores</t>
  </si>
  <si>
    <t>EXPR</t>
  </si>
  <si>
    <t>Express</t>
  </si>
  <si>
    <t>LULU</t>
  </si>
  <si>
    <t>Lululemon Athletica Inc.</t>
  </si>
  <si>
    <t>ADI</t>
  </si>
  <si>
    <t>Analog Devices</t>
  </si>
  <si>
    <t>Technology</t>
  </si>
  <si>
    <t>Semiconductors</t>
  </si>
  <si>
    <t>ADM</t>
  </si>
  <si>
    <t>Archer Daniels Midland</t>
  </si>
  <si>
    <t>Consumer Defensive</t>
  </si>
  <si>
    <t>Farm Products</t>
  </si>
  <si>
    <t>ADP</t>
  </si>
  <si>
    <t>Automatic Data Processing</t>
  </si>
  <si>
    <t>Staffing &amp; Employment Services</t>
  </si>
  <si>
    <t>ADS</t>
  </si>
  <si>
    <t>Alliance Data Systems</t>
  </si>
  <si>
    <t>Credit Services</t>
  </si>
  <si>
    <t>NXP</t>
  </si>
  <si>
    <t>Nuveen Select Tax-Free Income Portfolio</t>
  </si>
  <si>
    <t>TROW</t>
  </si>
  <si>
    <t>T. Rowe Price</t>
  </si>
  <si>
    <t>AEE</t>
  </si>
  <si>
    <t>Ameren</t>
  </si>
  <si>
    <t>Utilities</t>
  </si>
  <si>
    <t>Utilities‚Äö√Ñ√ÆRegulated Electric</t>
  </si>
  <si>
    <t>AEIS</t>
  </si>
  <si>
    <t>Advanced Energy Industries</t>
  </si>
  <si>
    <t>Electronic Components</t>
  </si>
  <si>
    <t>AEMD</t>
  </si>
  <si>
    <t>Aethlon Medical</t>
  </si>
  <si>
    <t>AEO</t>
  </si>
  <si>
    <t>American Eagle Outfitters</t>
  </si>
  <si>
    <t>AEP</t>
  </si>
  <si>
    <t>American Electric Power</t>
  </si>
  <si>
    <t>Utilities - Regulated Electric</t>
  </si>
  <si>
    <t>AES</t>
  </si>
  <si>
    <t>Utilities - Diversified</t>
  </si>
  <si>
    <t>AFG</t>
  </si>
  <si>
    <t>American Financial Group</t>
  </si>
  <si>
    <t>Insurance - Property &amp; Casualty</t>
  </si>
  <si>
    <t>AFL</t>
  </si>
  <si>
    <t>Aflac</t>
  </si>
  <si>
    <t>Insurance - Life</t>
  </si>
  <si>
    <t>AGCO</t>
  </si>
  <si>
    <t>Farm &amp; Construction Equipment</t>
  </si>
  <si>
    <t>ABG</t>
  </si>
  <si>
    <t>Asbury Automotive Group</t>
  </si>
  <si>
    <t>Auto &amp; Truck Dealerships</t>
  </si>
  <si>
    <t>AGNC</t>
  </si>
  <si>
    <t>Agnc Investment</t>
  </si>
  <si>
    <t>AHPI</t>
  </si>
  <si>
    <t>Allied Healthcare</t>
  </si>
  <si>
    <t>AIG</t>
  </si>
  <si>
    <t>American International Group, Inc.</t>
  </si>
  <si>
    <t>Insurance - Diversified</t>
  </si>
  <si>
    <t>AIR</t>
  </si>
  <si>
    <t>AAR Corp.</t>
  </si>
  <si>
    <t>AIV</t>
  </si>
  <si>
    <t>Apartment Investment &amp; Mgmt (Aimco)</t>
  </si>
  <si>
    <t>REIT - Residential</t>
  </si>
  <si>
    <t>AIZ</t>
  </si>
  <si>
    <t>Assurant</t>
  </si>
  <si>
    <t>Insurance - Specialty</t>
  </si>
  <si>
    <t>AJG</t>
  </si>
  <si>
    <t>Arthur J. Gallagher</t>
  </si>
  <si>
    <t>Insurance Brokers</t>
  </si>
  <si>
    <t>KMX</t>
  </si>
  <si>
    <t>CarMax</t>
  </si>
  <si>
    <t>TSLA</t>
  </si>
  <si>
    <t>Tesla</t>
  </si>
  <si>
    <t>pass</t>
  </si>
  <si>
    <t>Auto Manufacturers</t>
  </si>
  <si>
    <t>ALB</t>
  </si>
  <si>
    <t>Albemarle</t>
  </si>
  <si>
    <t>Specialty Chemicals</t>
  </si>
  <si>
    <t>ALE</t>
  </si>
  <si>
    <t>ALLETE, Inc.</t>
  </si>
  <si>
    <t>AXL</t>
  </si>
  <si>
    <t>American Axle &amp; Manufacturing</t>
  </si>
  <si>
    <t>Auto Parts</t>
  </si>
  <si>
    <t>ALK</t>
  </si>
  <si>
    <t>Alaska Air Group</t>
  </si>
  <si>
    <t>ALKS</t>
  </si>
  <si>
    <t>Alkermes</t>
  </si>
  <si>
    <t>ALL</t>
  </si>
  <si>
    <t>Allstate</t>
  </si>
  <si>
    <t>ALLE</t>
  </si>
  <si>
    <t>Allegion</t>
  </si>
  <si>
    <t>Security &amp; Protection Services</t>
  </si>
  <si>
    <t>ALLY</t>
  </si>
  <si>
    <t>Ally Financial</t>
  </si>
  <si>
    <t>ALV</t>
  </si>
  <si>
    <t>Autoliv</t>
  </si>
  <si>
    <t>SRI</t>
  </si>
  <si>
    <t>Stoneridge, Inc.</t>
  </si>
  <si>
    <t>AMAT</t>
  </si>
  <si>
    <t>Applied Materials</t>
  </si>
  <si>
    <t>Semiconductor Equipment &amp; Materials</t>
  </si>
  <si>
    <t>AMBA</t>
  </si>
  <si>
    <t>Ambarella, Inc.</t>
  </si>
  <si>
    <t>AMCX</t>
  </si>
  <si>
    <t>AMC Networks</t>
  </si>
  <si>
    <t>Broadcasting - TV</t>
  </si>
  <si>
    <t>AMD</t>
  </si>
  <si>
    <t>Advanced Micro Devices</t>
  </si>
  <si>
    <t>AME</t>
  </si>
  <si>
    <t>Ametek</t>
  </si>
  <si>
    <t>Diversified Industrials</t>
  </si>
  <si>
    <t>AMG</t>
  </si>
  <si>
    <t>Affiliated Managers Group</t>
  </si>
  <si>
    <t>AMGN</t>
  </si>
  <si>
    <t>Amgen</t>
  </si>
  <si>
    <t>Drug Manufacturers - Major</t>
  </si>
  <si>
    <t>AMID</t>
  </si>
  <si>
    <t>American Midstream Partners LP</t>
  </si>
  <si>
    <t>Oil &amp; Gas Pipelines</t>
  </si>
  <si>
    <t>AMP</t>
  </si>
  <si>
    <t>Ameriprise Financial</t>
  </si>
  <si>
    <t>AMRK</t>
  </si>
  <si>
    <t>A-Mark Precious Metals</t>
  </si>
  <si>
    <t>Capital Markets</t>
  </si>
  <si>
    <t>AMT</t>
  </si>
  <si>
    <t>American Tower</t>
  </si>
  <si>
    <t>Communication Services</t>
  </si>
  <si>
    <t>Telecom Services</t>
  </si>
  <si>
    <t>TEN</t>
  </si>
  <si>
    <t>Tenneco</t>
  </si>
  <si>
    <t>VC</t>
  </si>
  <si>
    <t>Visteon</t>
  </si>
  <si>
    <t>HDB</t>
  </si>
  <si>
    <t>HDFC Bank</t>
  </si>
  <si>
    <t>Banks - Regional - Asia</t>
  </si>
  <si>
    <t>AN</t>
  </si>
  <si>
    <t>AutoNation</t>
  </si>
  <si>
    <t>ANDV</t>
  </si>
  <si>
    <t>Andeavor</t>
  </si>
  <si>
    <t>Energy</t>
  </si>
  <si>
    <t>Oil &amp; Gas Refining &amp; Marketing</t>
  </si>
  <si>
    <t>ANF</t>
  </si>
  <si>
    <t>Abercrombie &amp; Fitch</t>
  </si>
  <si>
    <t>ANGI</t>
  </si>
  <si>
    <t>ANGI Homeservices Inc</t>
  </si>
  <si>
    <t>Internet Content &amp; Information</t>
  </si>
  <si>
    <t>STI</t>
  </si>
  <si>
    <t>SunTrust Banks</t>
  </si>
  <si>
    <t>Banks - Regional - US</t>
  </si>
  <si>
    <t>ANTM</t>
  </si>
  <si>
    <t>Anthem</t>
  </si>
  <si>
    <t>Health Care Plans</t>
  </si>
  <si>
    <t>AON</t>
  </si>
  <si>
    <t>Aon plc</t>
  </si>
  <si>
    <t>APA</t>
  </si>
  <si>
    <t>Apache</t>
  </si>
  <si>
    <t>Oil &amp; Gas E&amp;P</t>
  </si>
  <si>
    <t>APC</t>
  </si>
  <si>
    <t>Anadarko Petroleum</t>
  </si>
  <si>
    <t>APD</t>
  </si>
  <si>
    <t>Air Products &amp; Chemicals</t>
  </si>
  <si>
    <t>Chemicals</t>
  </si>
  <si>
    <t>SAM</t>
  </si>
  <si>
    <t>The Boston Beer Company, Inc.</t>
  </si>
  <si>
    <t>Beverages - Brewers</t>
  </si>
  <si>
    <t>APRN</t>
  </si>
  <si>
    <t>Blue Apron</t>
  </si>
  <si>
    <t>AR</t>
  </si>
  <si>
    <t>Antero Resources Corporation</t>
  </si>
  <si>
    <t>DPS</t>
  </si>
  <si>
    <t>Dr Pepper Snapple Group</t>
  </si>
  <si>
    <t>Beverages - Soft Drinks</t>
  </si>
  <si>
    <t>ARLP</t>
  </si>
  <si>
    <t>Alliance Resource Partners L.P.</t>
  </si>
  <si>
    <t>Coal</t>
  </si>
  <si>
    <t>ARMK</t>
  </si>
  <si>
    <t>Aramark</t>
  </si>
  <si>
    <t>Restaurants</t>
  </si>
  <si>
    <t>MNST</t>
  </si>
  <si>
    <t>Monster Beverage</t>
  </si>
  <si>
    <t>BF-B</t>
  </si>
  <si>
    <t>Brown-Forman</t>
  </si>
  <si>
    <t>Beverages - Wineries &amp; Distilleries</t>
  </si>
  <si>
    <t>ARW</t>
  </si>
  <si>
    <t>Arrow Electronics</t>
  </si>
  <si>
    <t>Electronics Distribution</t>
  </si>
  <si>
    <t>ALXN</t>
  </si>
  <si>
    <t>Alexion Pharmaceuticals</t>
  </si>
  <si>
    <t>Biotechnology</t>
  </si>
  <si>
    <t>BPMC</t>
  </si>
  <si>
    <t>Blueprint Medicines Corporation</t>
  </si>
  <si>
    <t>ASX</t>
  </si>
  <si>
    <t>Australian Services Exchange</t>
  </si>
  <si>
    <t>MACK</t>
  </si>
  <si>
    <t>Merrimack Pharmaceuticals, Inc.</t>
  </si>
  <si>
    <t>MGNX</t>
  </si>
  <si>
    <t>MacroGenics, Inc.</t>
  </si>
  <si>
    <t>ATUS</t>
  </si>
  <si>
    <t>Altice USA</t>
  </si>
  <si>
    <t>PGNX</t>
  </si>
  <si>
    <t>Progenics Pharmaceuticals, Inc.</t>
  </si>
  <si>
    <t>AVB</t>
  </si>
  <si>
    <t>AvalonBay Communities</t>
  </si>
  <si>
    <t>AVGO</t>
  </si>
  <si>
    <t>Broadcom</t>
  </si>
  <si>
    <t>AVT</t>
  </si>
  <si>
    <t>Avnet</t>
  </si>
  <si>
    <t>AVY</t>
  </si>
  <si>
    <t>Avery Dennison</t>
  </si>
  <si>
    <t>Business Equipment</t>
  </si>
  <si>
    <t>AWK</t>
  </si>
  <si>
    <t>American Water Works</t>
  </si>
  <si>
    <t>Utilities - Regulated Water</t>
  </si>
  <si>
    <t>AWR</t>
  </si>
  <si>
    <t>American States Water Co.</t>
  </si>
  <si>
    <t>REGN</t>
  </si>
  <si>
    <t>Regeneron Pharmaceuticals</t>
  </si>
  <si>
    <t>SGEN</t>
  </si>
  <si>
    <t>Seattle Genetics, Inc.</t>
  </si>
  <si>
    <t>AXP</t>
  </si>
  <si>
    <t>American Express</t>
  </si>
  <si>
    <t>AXTA</t>
  </si>
  <si>
    <t>Axalta Coating Systems Ltd</t>
  </si>
  <si>
    <t>AY</t>
  </si>
  <si>
    <t>Atlantica Yield</t>
  </si>
  <si>
    <t>AYI</t>
  </si>
  <si>
    <t>Acuity Brands</t>
  </si>
  <si>
    <t>AYX</t>
  </si>
  <si>
    <t>Alteryx</t>
  </si>
  <si>
    <t>SPPI</t>
  </si>
  <si>
    <t>Spectrum Pharmaceuticals, Inc.</t>
  </si>
  <si>
    <t>B4O2</t>
  </si>
  <si>
    <t>Windstream Holdings</t>
  </si>
  <si>
    <t>BA</t>
  </si>
  <si>
    <t>Boeing</t>
  </si>
  <si>
    <t>UBX</t>
  </si>
  <si>
    <t>Unity Biotechnology</t>
  </si>
  <si>
    <t>BAC</t>
  </si>
  <si>
    <t>Bank of America Corp.</t>
  </si>
  <si>
    <t>Banks - Global</t>
  </si>
  <si>
    <t>BAH</t>
  </si>
  <si>
    <t>Booz Allen Hamilton Holding</t>
  </si>
  <si>
    <t>Business Services</t>
  </si>
  <si>
    <t>BAX</t>
  </si>
  <si>
    <t>Baxter International</t>
  </si>
  <si>
    <t>Medical Instruments &amp; Supplies</t>
  </si>
  <si>
    <t>BBBY</t>
  </si>
  <si>
    <t>Bed Bath &amp; Beyond</t>
  </si>
  <si>
    <t>BBT</t>
  </si>
  <si>
    <t>BB&amp;T Corp.</t>
  </si>
  <si>
    <t>BBVA</t>
  </si>
  <si>
    <t>Banco Bilbao Vizcaya Argentaria</t>
  </si>
  <si>
    <t>BBY</t>
  </si>
  <si>
    <t>Best Buy</t>
  </si>
  <si>
    <t>BCE</t>
  </si>
  <si>
    <t>BCE Inc.</t>
  </si>
  <si>
    <t>BCRX</t>
  </si>
  <si>
    <t>BioCryst</t>
  </si>
  <si>
    <t>BCSF</t>
  </si>
  <si>
    <t>Bain Capital Specialty Finance</t>
  </si>
  <si>
    <t>BDX</t>
  </si>
  <si>
    <t>Becton Dickinson</t>
  </si>
  <si>
    <t>IHRT</t>
  </si>
  <si>
    <t>iHeartMedia</t>
  </si>
  <si>
    <t>Broadcasting - Radio</t>
  </si>
  <si>
    <t>BEN</t>
  </si>
  <si>
    <t>Franklin Templeton Investments</t>
  </si>
  <si>
    <t>BEP</t>
  </si>
  <si>
    <t>Brookfield Renewable Partners</t>
  </si>
  <si>
    <t>Utilities - Independent Power Producers</t>
  </si>
  <si>
    <t>LSXMA</t>
  </si>
  <si>
    <t>Liberty Media</t>
  </si>
  <si>
    <t>BECN</t>
  </si>
  <si>
    <t>Beacon Roofing Supply</t>
  </si>
  <si>
    <t>Building Materials</t>
  </si>
  <si>
    <t>BHF</t>
  </si>
  <si>
    <t>Brighthouse Financial</t>
  </si>
  <si>
    <t>BHI</t>
  </si>
  <si>
    <t>Baker Hughes</t>
  </si>
  <si>
    <t>Oil &amp; Gas Equipment &amp; Services</t>
  </si>
  <si>
    <t>BHP</t>
  </si>
  <si>
    <t>BHP Group</t>
  </si>
  <si>
    <t>Industrial Metals &amp; Minerals</t>
  </si>
  <si>
    <t>BIDU</t>
  </si>
  <si>
    <t>Baidu</t>
  </si>
  <si>
    <t>BIIB</t>
  </si>
  <si>
    <t>Biogen</t>
  </si>
  <si>
    <t>BLDR</t>
  </si>
  <si>
    <t>Builders FirstSource</t>
  </si>
  <si>
    <t>BIP</t>
  </si>
  <si>
    <t>Brookfield Infrastructure Partners</t>
  </si>
  <si>
    <t>CTAS</t>
  </si>
  <si>
    <t>Cintas</t>
  </si>
  <si>
    <t>BJ</t>
  </si>
  <si>
    <t>BJ's Wholesale Club</t>
  </si>
  <si>
    <t>BK</t>
  </si>
  <si>
    <t>Bank of New York Mellon Corp.</t>
  </si>
  <si>
    <t>BKEP</t>
  </si>
  <si>
    <t>Blueknight Energy Partners L.P.</t>
  </si>
  <si>
    <t>Oil &amp; Gas Midstream</t>
  </si>
  <si>
    <t>FISV</t>
  </si>
  <si>
    <t>Fiserv</t>
  </si>
  <si>
    <t>AMTD</t>
  </si>
  <si>
    <t>TD Ameritrade Holding</t>
  </si>
  <si>
    <t>INTL</t>
  </si>
  <si>
    <t>INTL FCStone</t>
  </si>
  <si>
    <t>BKU</t>
  </si>
  <si>
    <t>BankUnited, Inc.</t>
  </si>
  <si>
    <t>MCO</t>
  </si>
  <si>
    <t>Moodys</t>
  </si>
  <si>
    <t>SPGI</t>
  </si>
  <si>
    <t>S&amp;P Global</t>
  </si>
  <si>
    <t>UNVR</t>
  </si>
  <si>
    <t>Univar</t>
  </si>
  <si>
    <t>BLK</t>
  </si>
  <si>
    <t>BlackRock</t>
  </si>
  <si>
    <t>BLL</t>
  </si>
  <si>
    <t>Ball</t>
  </si>
  <si>
    <t>Packaging &amp; Containers</t>
  </si>
  <si>
    <t>BLMN</t>
  </si>
  <si>
    <t>Bloomin Brands</t>
  </si>
  <si>
    <t>SWIR</t>
  </si>
  <si>
    <t>Sierra Wireless, Inc.</t>
  </si>
  <si>
    <t>Communication Equipment</t>
  </si>
  <si>
    <t>BMO</t>
  </si>
  <si>
    <t>Bank of Montreal</t>
  </si>
  <si>
    <t>BMW</t>
  </si>
  <si>
    <t>BMY</t>
  </si>
  <si>
    <t>Bristol-Myers Squibb</t>
  </si>
  <si>
    <t>BNGO</t>
  </si>
  <si>
    <t>Bionano Genomics</t>
  </si>
  <si>
    <t>BOSCHLTD.NS</t>
  </si>
  <si>
    <t>Bosch</t>
  </si>
  <si>
    <t>BPL</t>
  </si>
  <si>
    <t>Buckeye Partners L.P.</t>
  </si>
  <si>
    <t>TECD</t>
  </si>
  <si>
    <t>Tech Data</t>
  </si>
  <si>
    <t>Computer Distribution</t>
  </si>
  <si>
    <t>SSYS</t>
  </si>
  <si>
    <t>Stratasys Ltd</t>
  </si>
  <si>
    <t>Computer Systems</t>
  </si>
  <si>
    <t>AAPL</t>
  </si>
  <si>
    <t>Apple</t>
  </si>
  <si>
    <t>Consumer Electronics</t>
  </si>
  <si>
    <t>BRK.B</t>
  </si>
  <si>
    <t>Berkshire Hathaway</t>
  </si>
  <si>
    <t>BSET</t>
  </si>
  <si>
    <t>Bassett Furniture Industries</t>
  </si>
  <si>
    <t>Home Furnishings &amp; Fixtures</t>
  </si>
  <si>
    <t>BSIG</t>
  </si>
  <si>
    <t>BrightSphere Investment Group</t>
  </si>
  <si>
    <t>BSX</t>
  </si>
  <si>
    <t>Boston Scientific</t>
  </si>
  <si>
    <t>BTU</t>
  </si>
  <si>
    <t>Peabody Energy</t>
  </si>
  <si>
    <t>BUD</t>
  </si>
  <si>
    <t>Anheuser-Busch</t>
  </si>
  <si>
    <t>BURBY</t>
  </si>
  <si>
    <t>Burberry</t>
  </si>
  <si>
    <t>CACC</t>
  </si>
  <si>
    <t>Credit Acceptance</t>
  </si>
  <si>
    <t>BWA</t>
  </si>
  <si>
    <t>BorgWarner</t>
  </si>
  <si>
    <t>BX</t>
  </si>
  <si>
    <t>Blackstone Group</t>
  </si>
  <si>
    <t>BXP</t>
  </si>
  <si>
    <t>Boston Properties</t>
  </si>
  <si>
    <t>REIT - Office</t>
  </si>
  <si>
    <t>BYND</t>
  </si>
  <si>
    <t>Beyond Meat</t>
  </si>
  <si>
    <t>Packaged Foods</t>
  </si>
  <si>
    <t>MA</t>
  </si>
  <si>
    <t>MasterCard</t>
  </si>
  <si>
    <t>C</t>
  </si>
  <si>
    <t>Citigroup</t>
  </si>
  <si>
    <t>PYPL</t>
  </si>
  <si>
    <t>PayPal Holdings</t>
  </si>
  <si>
    <t>V</t>
  </si>
  <si>
    <t>Visa</t>
  </si>
  <si>
    <t>CAE</t>
  </si>
  <si>
    <t>CAE Inc.</t>
  </si>
  <si>
    <t>CAG</t>
  </si>
  <si>
    <t>ConAgra Foods</t>
  </si>
  <si>
    <t>CAH</t>
  </si>
  <si>
    <t>Cardinal Health</t>
  </si>
  <si>
    <t>CAKE</t>
  </si>
  <si>
    <t>Cheesecake Factory</t>
  </si>
  <si>
    <t>CAMP</t>
  </si>
  <si>
    <t>CalAmp Corp.</t>
  </si>
  <si>
    <t>CAR</t>
  </si>
  <si>
    <t>Avis Budget Group</t>
  </si>
  <si>
    <t>Rental &amp; Leasing Services</t>
  </si>
  <si>
    <t>CASY</t>
  </si>
  <si>
    <t>Casey's General Stores</t>
  </si>
  <si>
    <t>Grocery Stores</t>
  </si>
  <si>
    <t>CAT</t>
  </si>
  <si>
    <t>Caterpillar</t>
  </si>
  <si>
    <t>CATO</t>
  </si>
  <si>
    <t>Cato Corp</t>
  </si>
  <si>
    <t>JCP</t>
  </si>
  <si>
    <t>J.C. Penney</t>
  </si>
  <si>
    <t>Department Stores</t>
  </si>
  <si>
    <t>CB</t>
  </si>
  <si>
    <t>Chubb Limited</t>
  </si>
  <si>
    <t>CBRE</t>
  </si>
  <si>
    <t>CBRE Group</t>
  </si>
  <si>
    <t>Real Estate Services</t>
  </si>
  <si>
    <t>CBRL</t>
  </si>
  <si>
    <t>Cracker Barrel Old Country Store</t>
  </si>
  <si>
    <t>SHLD</t>
  </si>
  <si>
    <t>Sears Holdings</t>
  </si>
  <si>
    <t>CC</t>
  </si>
  <si>
    <t>Chemours</t>
  </si>
  <si>
    <t>CCI</t>
  </si>
  <si>
    <t>Crown Castle International</t>
  </si>
  <si>
    <t>REIT - Diversified</t>
  </si>
  <si>
    <t>CCJ</t>
  </si>
  <si>
    <t>Cameo Corp</t>
  </si>
  <si>
    <t>CCL</t>
  </si>
  <si>
    <t>Carnival Corp.</t>
  </si>
  <si>
    <t>Leisure</t>
  </si>
  <si>
    <t>CDK</t>
  </si>
  <si>
    <t>CDK Global Inc</t>
  </si>
  <si>
    <t>CDW</t>
  </si>
  <si>
    <t>Information Technology Services</t>
  </si>
  <si>
    <t>CE</t>
  </si>
  <si>
    <t>Celanese</t>
  </si>
  <si>
    <t>CEIX</t>
  </si>
  <si>
    <t>Consol Energy</t>
  </si>
  <si>
    <t>CENX</t>
  </si>
  <si>
    <t>Century Aluminum</t>
  </si>
  <si>
    <t>CERN</t>
  </si>
  <si>
    <t>Cerner</t>
  </si>
  <si>
    <t>Health Information Services</t>
  </si>
  <si>
    <t>CF</t>
  </si>
  <si>
    <t>CF Industries Holdings</t>
  </si>
  <si>
    <t>Agricultural Inputs</t>
  </si>
  <si>
    <t>CFG</t>
  </si>
  <si>
    <t>Citizens Financial Group</t>
  </si>
  <si>
    <t>CG</t>
  </si>
  <si>
    <t>Carlyle Grou</t>
  </si>
  <si>
    <t>CGC</t>
  </si>
  <si>
    <t>Canopy Growth Corporation</t>
  </si>
  <si>
    <t>Drug Manufacturers - Specialty &amp; Generic</t>
  </si>
  <si>
    <t>EXAS</t>
  </si>
  <si>
    <t>Exact Sciences Corporation</t>
  </si>
  <si>
    <t>GHDX</t>
  </si>
  <si>
    <t>Genomic Health, Inc.</t>
  </si>
  <si>
    <t>CHDN</t>
  </si>
  <si>
    <t>Churchill Downs Incorporated</t>
  </si>
  <si>
    <t>Gambling</t>
  </si>
  <si>
    <t>CHK</t>
  </si>
  <si>
    <t>Chesapeake Energy</t>
  </si>
  <si>
    <t>CHKP</t>
  </si>
  <si>
    <t>Check Point Software Technologies Ltd.</t>
  </si>
  <si>
    <t>Software - Application</t>
  </si>
  <si>
    <t>CHRW</t>
  </si>
  <si>
    <t>Burlington Stores</t>
  </si>
  <si>
    <t>Integrated Shipping &amp; Logistics</t>
  </si>
  <si>
    <t>CHS</t>
  </si>
  <si>
    <t>CHTR</t>
  </si>
  <si>
    <t>Spectrum</t>
  </si>
  <si>
    <t>Pay TV</t>
  </si>
  <si>
    <t>IDXX</t>
  </si>
  <si>
    <t>IDEXX Laboratories</t>
  </si>
  <si>
    <t>CI</t>
  </si>
  <si>
    <t>Cigna</t>
  </si>
  <si>
    <t>CINF</t>
  </si>
  <si>
    <t>Cincinnati Financial</t>
  </si>
  <si>
    <t>CIOXY</t>
  </si>
  <si>
    <t>Cielo SA</t>
  </si>
  <si>
    <t>Software - Infrastructure</t>
  </si>
  <si>
    <t>CL</t>
  </si>
  <si>
    <t>Colgate-Palmolive</t>
  </si>
  <si>
    <t>Household &amp; Personal Products</t>
  </si>
  <si>
    <t>CLDR</t>
  </si>
  <si>
    <t>Cloudera, Inc.</t>
  </si>
  <si>
    <t>CLF</t>
  </si>
  <si>
    <t>Cliffs Natural Resources</t>
  </si>
  <si>
    <t>CLR</t>
  </si>
  <si>
    <t>Continental Resources</t>
  </si>
  <si>
    <t>ILMN</t>
  </si>
  <si>
    <t>Illumina</t>
  </si>
  <si>
    <t>CM</t>
  </si>
  <si>
    <t>Canadian Imperial Bank of Commerce</t>
  </si>
  <si>
    <t>CMA</t>
  </si>
  <si>
    <t>Comerica</t>
  </si>
  <si>
    <t>CMCM</t>
  </si>
  <si>
    <t>Cheetah Mobile Inc</t>
  </si>
  <si>
    <t>CMCSA</t>
  </si>
  <si>
    <t>Comcast</t>
  </si>
  <si>
    <t>CME</t>
  </si>
  <si>
    <t>CME Group</t>
  </si>
  <si>
    <t>Financial Exchanges</t>
  </si>
  <si>
    <t>CMG</t>
  </si>
  <si>
    <t>Chipotle Mexican Grill</t>
  </si>
  <si>
    <t>CMI</t>
  </si>
  <si>
    <t>Cummins</t>
  </si>
  <si>
    <t>CMS</t>
  </si>
  <si>
    <t>CMS Energy</t>
  </si>
  <si>
    <t>CNC</t>
  </si>
  <si>
    <t>Centene</t>
  </si>
  <si>
    <t>CNHI</t>
  </si>
  <si>
    <t>CNH Industrial</t>
  </si>
  <si>
    <t>CNI</t>
  </si>
  <si>
    <t>Canadian National Railway</t>
  </si>
  <si>
    <t>Railroads</t>
  </si>
  <si>
    <t>CNK</t>
  </si>
  <si>
    <t>Cinemark Holdings</t>
  </si>
  <si>
    <t>Media - Diversified</t>
  </si>
  <si>
    <t>CNP</t>
  </si>
  <si>
    <t>CenterPoint Energy</t>
  </si>
  <si>
    <t>Utilities - Regulated Gas</t>
  </si>
  <si>
    <t>CODI</t>
  </si>
  <si>
    <t>Compass Diversified</t>
  </si>
  <si>
    <t>IQV</t>
  </si>
  <si>
    <t>IQVIA Holdings</t>
  </si>
  <si>
    <t>COF</t>
  </si>
  <si>
    <t>Capital One Financial</t>
  </si>
  <si>
    <t>COG</t>
  </si>
  <si>
    <t>Cabot</t>
  </si>
  <si>
    <t>LH</t>
  </si>
  <si>
    <t>Laboratory Corp. of America</t>
  </si>
  <si>
    <t>COLM</t>
  </si>
  <si>
    <t>Columbia Sportswear</t>
  </si>
  <si>
    <t>MTD</t>
  </si>
  <si>
    <t>Mettler-Toledo International</t>
  </si>
  <si>
    <t>COP</t>
  </si>
  <si>
    <t>ConocoPhillips</t>
  </si>
  <si>
    <t>CORE</t>
  </si>
  <si>
    <t>Core Mark Holding</t>
  </si>
  <si>
    <t>Food Distribution</t>
  </si>
  <si>
    <t>COST</t>
  </si>
  <si>
    <t>Costco</t>
  </si>
  <si>
    <t>Discount Stores</t>
  </si>
  <si>
    <t>COTY</t>
  </si>
  <si>
    <t>Coty</t>
  </si>
  <si>
    <t>CPB</t>
  </si>
  <si>
    <t>Campbell Soup</t>
  </si>
  <si>
    <t>WAT</t>
  </si>
  <si>
    <t>Waters</t>
  </si>
  <si>
    <t>CPT</t>
  </si>
  <si>
    <t>Camden Property Trust</t>
  </si>
  <si>
    <t>BURL</t>
  </si>
  <si>
    <t>CRSP</t>
  </si>
  <si>
    <t>CRISPR Therapeutics</t>
  </si>
  <si>
    <t>ARNC</t>
  </si>
  <si>
    <t>Arconic</t>
  </si>
  <si>
    <t>CSCO</t>
  </si>
  <si>
    <t>Cisco Systems</t>
  </si>
  <si>
    <t>IR</t>
  </si>
  <si>
    <t>Ingersoll-Rand PLC</t>
  </si>
  <si>
    <t>CSIQ</t>
  </si>
  <si>
    <t>Canadian Solar</t>
  </si>
  <si>
    <t>CSX</t>
  </si>
  <si>
    <t>LII</t>
  </si>
  <si>
    <t>Lennox International</t>
  </si>
  <si>
    <t>CTL</t>
  </si>
  <si>
    <t>CenturyLink</t>
  </si>
  <si>
    <t>CTRE</t>
  </si>
  <si>
    <t>CareTrust REIT</t>
  </si>
  <si>
    <t>REIT - Healthcare Facilities</t>
  </si>
  <si>
    <t>CTRP</t>
  </si>
  <si>
    <t>Ctrip.com International, Ltd.</t>
  </si>
  <si>
    <t>CTSH</t>
  </si>
  <si>
    <t>Cognizant Technology Solutions</t>
  </si>
  <si>
    <t>CTXS</t>
  </si>
  <si>
    <t>Citrix Systems</t>
  </si>
  <si>
    <t>CVE</t>
  </si>
  <si>
    <t>Cenovus Energy Inc.</t>
  </si>
  <si>
    <t>Oil &amp; Gas Integrated</t>
  </si>
  <si>
    <t>CVGI</t>
  </si>
  <si>
    <t>Commercial Vehicle Group</t>
  </si>
  <si>
    <t>CVS</t>
  </si>
  <si>
    <t>CVS Health</t>
  </si>
  <si>
    <t>CVX</t>
  </si>
  <si>
    <t>Chevron</t>
  </si>
  <si>
    <t>CW</t>
  </si>
  <si>
    <t>Curtiss-Wright</t>
  </si>
  <si>
    <t>CWT</t>
  </si>
  <si>
    <t>California Water Service Group</t>
  </si>
  <si>
    <t>CYBR</t>
  </si>
  <si>
    <t>CyberArk Software Ltd</t>
  </si>
  <si>
    <t>ROK</t>
  </si>
  <si>
    <t>Rockwell Automation</t>
  </si>
  <si>
    <t>CYRX</t>
  </si>
  <si>
    <t>Cryoport</t>
  </si>
  <si>
    <t>CZR</t>
  </si>
  <si>
    <t>Caesars Entertainment Corp</t>
  </si>
  <si>
    <t>Resorts &amp; Casinos</t>
  </si>
  <si>
    <t>D</t>
  </si>
  <si>
    <t>Dominion Energy</t>
  </si>
  <si>
    <t>DAL</t>
  </si>
  <si>
    <t>Delta Air Lines</t>
  </si>
  <si>
    <t>DAN</t>
  </si>
  <si>
    <t>Dana</t>
  </si>
  <si>
    <t>AGN</t>
  </si>
  <si>
    <t>Allergan, Plc</t>
  </si>
  <si>
    <t>DASTY</t>
  </si>
  <si>
    <t>Dassault Systemes SE ADR</t>
  </si>
  <si>
    <t>DBX</t>
  </si>
  <si>
    <t>Dropbox</t>
  </si>
  <si>
    <t>DCP</t>
  </si>
  <si>
    <t>DCP Midstream</t>
  </si>
  <si>
    <t>DD</t>
  </si>
  <si>
    <t>DuPont de Nemours</t>
  </si>
  <si>
    <t>TEVA</t>
  </si>
  <si>
    <t>Teva Pharmaceutical Industries</t>
  </si>
  <si>
    <t>DDS</t>
  </si>
  <si>
    <t>Dillard‚Äö√Ñ√∂‚àö√ë‚àö‚àÇ‚Äö√†√∂‚àö√´‚Äö√†√∂¬¨‚Ä¢s</t>
  </si>
  <si>
    <t>DE</t>
  </si>
  <si>
    <t>Deere</t>
  </si>
  <si>
    <t>DELL</t>
  </si>
  <si>
    <t>Dell Technologies Inc.</t>
  </si>
  <si>
    <t>DEO</t>
  </si>
  <si>
    <t>Diageo</t>
  </si>
  <si>
    <t>ZTS</t>
  </si>
  <si>
    <t>Zoetis</t>
  </si>
  <si>
    <t>DFS</t>
  </si>
  <si>
    <t>Discover Financial Services</t>
  </si>
  <si>
    <t>DG</t>
  </si>
  <si>
    <t>Dollar General</t>
  </si>
  <si>
    <t>DGX</t>
  </si>
  <si>
    <t>Quest Diagnostics</t>
  </si>
  <si>
    <t>DHI</t>
  </si>
  <si>
    <t>D.R. Horton</t>
  </si>
  <si>
    <t>Residential Construction</t>
  </si>
  <si>
    <t>DHR</t>
  </si>
  <si>
    <t>Danaher</t>
  </si>
  <si>
    <t>ACB</t>
  </si>
  <si>
    <t>Aurora Cannabis Inc.</t>
  </si>
  <si>
    <t>Drug Manufacturers‚Äö√Ñ√ÆSpecialty &amp; Generic</t>
  </si>
  <si>
    <t>DIS</t>
  </si>
  <si>
    <t>Disney</t>
  </si>
  <si>
    <t>DISCA</t>
  </si>
  <si>
    <t>Discovery Communications</t>
  </si>
  <si>
    <t>APH</t>
  </si>
  <si>
    <t>Amphenol</t>
  </si>
  <si>
    <t>DK</t>
  </si>
  <si>
    <t>Delek US Holdings</t>
  </si>
  <si>
    <t>DKS</t>
  </si>
  <si>
    <t>Dicks Sporting Goods</t>
  </si>
  <si>
    <t>DLPH</t>
  </si>
  <si>
    <t>Delphi Technologies</t>
  </si>
  <si>
    <t>DLR</t>
  </si>
  <si>
    <t>Digital Realty Trust</t>
  </si>
  <si>
    <t>DLTR</t>
  </si>
  <si>
    <t>Dollar Tree</t>
  </si>
  <si>
    <t>SANM</t>
  </si>
  <si>
    <t>Sanmina</t>
  </si>
  <si>
    <t>DOCU</t>
  </si>
  <si>
    <t>DocuSign</t>
  </si>
  <si>
    <t>ATVI</t>
  </si>
  <si>
    <t>Activision Blizzard</t>
  </si>
  <si>
    <t>Electronic Gaming &amp; Multimedia</t>
  </si>
  <si>
    <t>DOV</t>
  </si>
  <si>
    <t>Dover</t>
  </si>
  <si>
    <t>GLUU</t>
  </si>
  <si>
    <t>Glu Mobile Inc</t>
  </si>
  <si>
    <t>ACM</t>
  </si>
  <si>
    <t>AECOM</t>
  </si>
  <si>
    <t>Engineering &amp; Construction</t>
  </si>
  <si>
    <t>DRAD</t>
  </si>
  <si>
    <t>Digirad Corp</t>
  </si>
  <si>
    <t>DRI</t>
  </si>
  <si>
    <t>Darden Restaurants</t>
  </si>
  <si>
    <t>DTE</t>
  </si>
  <si>
    <t>DTE Energy</t>
  </si>
  <si>
    <t>DUK</t>
  </si>
  <si>
    <t>Duke Energy</t>
  </si>
  <si>
    <t>DVA</t>
  </si>
  <si>
    <t>DaVita HealthCare Partners</t>
  </si>
  <si>
    <t>Medical Care</t>
  </si>
  <si>
    <t>DVN</t>
  </si>
  <si>
    <t>Devon Energy</t>
  </si>
  <si>
    <t>DXC</t>
  </si>
  <si>
    <t>DXC Technology</t>
  </si>
  <si>
    <t>DXCM</t>
  </si>
  <si>
    <t>DexCom, Inc.</t>
  </si>
  <si>
    <t>JEC</t>
  </si>
  <si>
    <t>Jacobs Engineering Group</t>
  </si>
  <si>
    <t>EA</t>
  </si>
  <si>
    <t>Electronic Arts</t>
  </si>
  <si>
    <t>MTZ</t>
  </si>
  <si>
    <t>MasTec</t>
  </si>
  <si>
    <t>EBAY</t>
  </si>
  <si>
    <t>eBay</t>
  </si>
  <si>
    <t>ECA</t>
  </si>
  <si>
    <t>Encana Corporation</t>
  </si>
  <si>
    <t>ECL</t>
  </si>
  <si>
    <t>Ecolab</t>
  </si>
  <si>
    <t>PFGC</t>
  </si>
  <si>
    <t>Performance Food Group</t>
  </si>
  <si>
    <t>ED</t>
  </si>
  <si>
    <t>Consolidated Edison</t>
  </si>
  <si>
    <t>EDIT</t>
  </si>
  <si>
    <t>Editas Medicine</t>
  </si>
  <si>
    <t>WBAI</t>
  </si>
  <si>
    <t>500.com Limited</t>
  </si>
  <si>
    <t>EFX</t>
  </si>
  <si>
    <t>Equifax</t>
  </si>
  <si>
    <t>SFM</t>
  </si>
  <si>
    <t>Sprouts Farmers Market</t>
  </si>
  <si>
    <t>EIX</t>
  </si>
  <si>
    <t>Edison International</t>
  </si>
  <si>
    <t>EL</t>
  </si>
  <si>
    <t>Estee Lauder</t>
  </si>
  <si>
    <t>EME</t>
  </si>
  <si>
    <t>EMCOR Group</t>
  </si>
  <si>
    <t>EMN</t>
  </si>
  <si>
    <t>Eastman Chemical</t>
  </si>
  <si>
    <t>EMR</t>
  </si>
  <si>
    <t>Emerson Electric</t>
  </si>
  <si>
    <t>ENB</t>
  </si>
  <si>
    <t>Enbridge</t>
  </si>
  <si>
    <t>ENLC</t>
  </si>
  <si>
    <t>EnLink Midstream</t>
  </si>
  <si>
    <t>SVU</t>
  </si>
  <si>
    <t>Supervalu</t>
  </si>
  <si>
    <t>ENR</t>
  </si>
  <si>
    <t>Energizer</t>
  </si>
  <si>
    <t>ENS</t>
  </si>
  <si>
    <t>EnerSys</t>
  </si>
  <si>
    <t>EOG</t>
  </si>
  <si>
    <t>EOG Resources</t>
  </si>
  <si>
    <t>EPD</t>
  </si>
  <si>
    <t>Enterprise Products</t>
  </si>
  <si>
    <t>EQIX</t>
  </si>
  <si>
    <t>Equinix</t>
  </si>
  <si>
    <t>EQR</t>
  </si>
  <si>
    <t>Equity Residential</t>
  </si>
  <si>
    <t>EQT</t>
  </si>
  <si>
    <t>EQT Corporation</t>
  </si>
  <si>
    <t>ERIC</t>
  </si>
  <si>
    <t>Telefonaktiebolaget LM Ericsson</t>
  </si>
  <si>
    <t>ES</t>
  </si>
  <si>
    <t>Eversource Energy</t>
  </si>
  <si>
    <t>ESIO</t>
  </si>
  <si>
    <t>Electroc Scientific Industries</t>
  </si>
  <si>
    <t>ESRX</t>
  </si>
  <si>
    <t>Express Scripts Holding</t>
  </si>
  <si>
    <t>ESS</t>
  </si>
  <si>
    <t>Essex Property Trust, Inc.</t>
  </si>
  <si>
    <t>ESTC</t>
  </si>
  <si>
    <t>Elastic</t>
  </si>
  <si>
    <t>ESV</t>
  </si>
  <si>
    <t>Ensco plc</t>
  </si>
  <si>
    <t>Oil &amp; Gas Drilling</t>
  </si>
  <si>
    <t>ET</t>
  </si>
  <si>
    <t>Energy Transfer</t>
  </si>
  <si>
    <t>ETN</t>
  </si>
  <si>
    <t>Eaton Corporation</t>
  </si>
  <si>
    <t>MGLN</t>
  </si>
  <si>
    <t>Magellan Health</t>
  </si>
  <si>
    <t>ETR</t>
  </si>
  <si>
    <t>Entergy</t>
  </si>
  <si>
    <t>MOH</t>
  </si>
  <si>
    <t>Molina Healthcare</t>
  </si>
  <si>
    <t>EVBG</t>
  </si>
  <si>
    <t>Everbridge</t>
  </si>
  <si>
    <t>EVH</t>
  </si>
  <si>
    <t>Evolent Health Inc</t>
  </si>
  <si>
    <t>WCG</t>
  </si>
  <si>
    <t>WellCare Health Plans</t>
  </si>
  <si>
    <t>MHK</t>
  </si>
  <si>
    <t>Mohawk Industries</t>
  </si>
  <si>
    <t>TPX</t>
  </si>
  <si>
    <t>Tempur Sealy International, Inc.</t>
  </si>
  <si>
    <t>EXC</t>
  </si>
  <si>
    <t>Exelon</t>
  </si>
  <si>
    <t>EXEL</t>
  </si>
  <si>
    <t>Exelixis</t>
  </si>
  <si>
    <t>EXP</t>
  </si>
  <si>
    <t>Eagle Materials Inc.</t>
  </si>
  <si>
    <t>EXPD</t>
  </si>
  <si>
    <t>Expeditors International of Washington</t>
  </si>
  <si>
    <t>EXPE</t>
  </si>
  <si>
    <t>Expedia</t>
  </si>
  <si>
    <t>EXPN</t>
  </si>
  <si>
    <t>Experian PLC</t>
  </si>
  <si>
    <t>HD</t>
  </si>
  <si>
    <t>Home Depot</t>
  </si>
  <si>
    <t>Home Improvement Stores</t>
  </si>
  <si>
    <t>EXR</t>
  </si>
  <si>
    <t>Extra Space Storage</t>
  </si>
  <si>
    <t>REIT - Industrial</t>
  </si>
  <si>
    <t>EYE</t>
  </si>
  <si>
    <t>National Vision Holdings</t>
  </si>
  <si>
    <t>F</t>
  </si>
  <si>
    <t>Ford Motor</t>
  </si>
  <si>
    <t>FAF</t>
  </si>
  <si>
    <t>First American Financial</t>
  </si>
  <si>
    <t>WYN</t>
  </si>
  <si>
    <t>Wyndham Worldwide</t>
  </si>
  <si>
    <t>Consumer Discretionary</t>
  </si>
  <si>
    <t>Hotels, Resorts &amp; Cruise Lines</t>
  </si>
  <si>
    <t>CHD</t>
  </si>
  <si>
    <t>Church &amp; Dwight</t>
  </si>
  <si>
    <t>FBHS</t>
  </si>
  <si>
    <t>Fortune Brands Home &amp; Security</t>
  </si>
  <si>
    <t>FCAU</t>
  </si>
  <si>
    <t>Fiat Chrysler Automobiles N.V.</t>
  </si>
  <si>
    <t>FCX</t>
  </si>
  <si>
    <t>Freeport-McMoRan</t>
  </si>
  <si>
    <t>Copper</t>
  </si>
  <si>
    <t>CLX</t>
  </si>
  <si>
    <t>Clorox</t>
  </si>
  <si>
    <t>FDX</t>
  </si>
  <si>
    <t>FedEx</t>
  </si>
  <si>
    <t>FE</t>
  </si>
  <si>
    <t>FirstEnergy</t>
  </si>
  <si>
    <t>AXE</t>
  </si>
  <si>
    <t>Anixter International</t>
  </si>
  <si>
    <t>Industrial Distribution</t>
  </si>
  <si>
    <t>FGEN</t>
  </si>
  <si>
    <t>FibroGen, Inc.</t>
  </si>
  <si>
    <t>FAST</t>
  </si>
  <si>
    <t>Fastenal</t>
  </si>
  <si>
    <t>HDS</t>
  </si>
  <si>
    <t>HD Supply Holdings</t>
  </si>
  <si>
    <t>FIS</t>
  </si>
  <si>
    <t>Fidelity National Information Services</t>
  </si>
  <si>
    <t>WCC</t>
  </si>
  <si>
    <t>WESCO International</t>
  </si>
  <si>
    <t>FIT</t>
  </si>
  <si>
    <t>Fitbit</t>
  </si>
  <si>
    <t>Scientific &amp; Technical Instruments</t>
  </si>
  <si>
    <t>FITB</t>
  </si>
  <si>
    <t>Fifth Third Bancorp</t>
  </si>
  <si>
    <t>ACN</t>
  </si>
  <si>
    <t>Accenture plc</t>
  </si>
  <si>
    <t>FL</t>
  </si>
  <si>
    <t>Foot Locker</t>
  </si>
  <si>
    <t>Footwear &amp; Accessories</t>
  </si>
  <si>
    <t>FLEX</t>
  </si>
  <si>
    <t>Flex Ltd.</t>
  </si>
  <si>
    <t>Contract Manufacturers</t>
  </si>
  <si>
    <t>FLIR</t>
  </si>
  <si>
    <t>FLIR Systems</t>
  </si>
  <si>
    <t>FLR</t>
  </si>
  <si>
    <t>Fluor</t>
  </si>
  <si>
    <t>FLS</t>
  </si>
  <si>
    <t>Flowserve</t>
  </si>
  <si>
    <t>NCR</t>
  </si>
  <si>
    <t>FMC</t>
  </si>
  <si>
    <t>NSIT</t>
  </si>
  <si>
    <t>Insight Enterprises</t>
  </si>
  <si>
    <t>FNF</t>
  </si>
  <si>
    <t>Fidelity National Financial</t>
  </si>
  <si>
    <t>FNMA</t>
  </si>
  <si>
    <t>Fannie Mae</t>
  </si>
  <si>
    <t>Specialty Finance</t>
  </si>
  <si>
    <t>FOSL</t>
  </si>
  <si>
    <t>Fossil Group Inc</t>
  </si>
  <si>
    <t>FOXA</t>
  </si>
  <si>
    <t>Twenty-First Century Fox (Class A)</t>
  </si>
  <si>
    <t>FRCOY</t>
  </si>
  <si>
    <t>Fast Retailing Co</t>
  </si>
  <si>
    <t>FRT</t>
  </si>
  <si>
    <t>Federal Realty Investment Trust</t>
  </si>
  <si>
    <t>REIT - Retail</t>
  </si>
  <si>
    <t>BRK.A</t>
  </si>
  <si>
    <t>FTAI</t>
  </si>
  <si>
    <t>Fortress Transportation and Infrastructure</t>
  </si>
  <si>
    <t>FTI</t>
  </si>
  <si>
    <t>TechnipFMC</t>
  </si>
  <si>
    <t>GNW</t>
  </si>
  <si>
    <t>Genworth Financial</t>
  </si>
  <si>
    <t>GL</t>
  </si>
  <si>
    <t>Global Life Inc</t>
  </si>
  <si>
    <t>FTS</t>
  </si>
  <si>
    <t>Fortis</t>
  </si>
  <si>
    <t>FTV</t>
  </si>
  <si>
    <t>Fortive</t>
  </si>
  <si>
    <t>GBCI</t>
  </si>
  <si>
    <t>Glacier Bancorp, Inc.</t>
  </si>
  <si>
    <t>GCI</t>
  </si>
  <si>
    <t>Gannett Co</t>
  </si>
  <si>
    <t>Publishing</t>
  </si>
  <si>
    <t>GD</t>
  </si>
  <si>
    <t>General Dynamics</t>
  </si>
  <si>
    <t>GDDY</t>
  </si>
  <si>
    <t>GoDaddy</t>
  </si>
  <si>
    <t>GDS</t>
  </si>
  <si>
    <t>GDS Holdings Ltd</t>
  </si>
  <si>
    <t>GE</t>
  </si>
  <si>
    <t>General Electric</t>
  </si>
  <si>
    <t>GEF</t>
  </si>
  <si>
    <t>Greif, Inc.</t>
  </si>
  <si>
    <t>GERN</t>
  </si>
  <si>
    <t>Geron Corporation</t>
  </si>
  <si>
    <t>MKL</t>
  </si>
  <si>
    <t>Markel</t>
  </si>
  <si>
    <t>Y</t>
  </si>
  <si>
    <t>Alleghany</t>
  </si>
  <si>
    <t>WLTW</t>
  </si>
  <si>
    <t>Willis Towers Watson</t>
  </si>
  <si>
    <t>GIL</t>
  </si>
  <si>
    <t>Gildan Activewear Inc.</t>
  </si>
  <si>
    <t>GILD</t>
  </si>
  <si>
    <t>Gilead Sciences</t>
  </si>
  <si>
    <t>GIS</t>
  </si>
  <si>
    <t>General Mills</t>
  </si>
  <si>
    <t>GLP</t>
  </si>
  <si>
    <t>Global Partners</t>
  </si>
  <si>
    <t>PCLN</t>
  </si>
  <si>
    <t>Priceline Group</t>
  </si>
  <si>
    <t>Internet &amp; Direct Marketing Retail</t>
  </si>
  <si>
    <t>GLW</t>
  </si>
  <si>
    <t>Corning</t>
  </si>
  <si>
    <t>GM</t>
  </si>
  <si>
    <t>General Motors</t>
  </si>
  <si>
    <t>ATHM</t>
  </si>
  <si>
    <t>Autohome Inc.</t>
  </si>
  <si>
    <t>GNTX</t>
  </si>
  <si>
    <t>Gentex Corporation</t>
  </si>
  <si>
    <t>FB</t>
  </si>
  <si>
    <t>Facebook</t>
  </si>
  <si>
    <t>GOGO</t>
  </si>
  <si>
    <t>Gogo</t>
  </si>
  <si>
    <t>GOOG</t>
  </si>
  <si>
    <t>Alphabet</t>
  </si>
  <si>
    <t>GOOGL</t>
  </si>
  <si>
    <t>Alphabet (Google) (Class A)</t>
  </si>
  <si>
    <t>GPC</t>
  </si>
  <si>
    <t>Genuine Parts</t>
  </si>
  <si>
    <t>GPI</t>
  </si>
  <si>
    <t>Group 1 Automotive</t>
  </si>
  <si>
    <t>GPK</t>
  </si>
  <si>
    <t>Graphic Packaging Holding</t>
  </si>
  <si>
    <t>GPN</t>
  </si>
  <si>
    <t>Global Payments</t>
  </si>
  <si>
    <t>GPRO</t>
  </si>
  <si>
    <t>GoPro, Inc.</t>
  </si>
  <si>
    <t>GPS</t>
  </si>
  <si>
    <t>Gap</t>
  </si>
  <si>
    <t>GRUB</t>
  </si>
  <si>
    <t>GrubHub</t>
  </si>
  <si>
    <t>GRPN</t>
  </si>
  <si>
    <t>Groupon</t>
  </si>
  <si>
    <t>MTCH</t>
  </si>
  <si>
    <t>Match Group, Inc.</t>
  </si>
  <si>
    <t>too early</t>
  </si>
  <si>
    <t>GS</t>
  </si>
  <si>
    <t>Goldman Sachs Group</t>
  </si>
  <si>
    <t>GSK</t>
  </si>
  <si>
    <t>GlaxoSmithKline</t>
  </si>
  <si>
    <t>GT</t>
  </si>
  <si>
    <t>Goodyear Tire &amp; Rubber</t>
  </si>
  <si>
    <t>Rubber &amp; Plastics</t>
  </si>
  <si>
    <t>GWW</t>
  </si>
  <si>
    <t>W.W. Grainger</t>
  </si>
  <si>
    <t>Gold</t>
  </si>
  <si>
    <t>Barrick Gold</t>
  </si>
  <si>
    <t>H</t>
  </si>
  <si>
    <t>Hyatt Hotels</t>
  </si>
  <si>
    <t>Lodging</t>
  </si>
  <si>
    <t>HAL</t>
  </si>
  <si>
    <t>Halliburton</t>
  </si>
  <si>
    <t>HAS</t>
  </si>
  <si>
    <t>Hasbro</t>
  </si>
  <si>
    <t>HBAN</t>
  </si>
  <si>
    <t>Huntington Bancshares</t>
  </si>
  <si>
    <t>HBI</t>
  </si>
  <si>
    <t>Hanesbrands</t>
  </si>
  <si>
    <t>SFUN</t>
  </si>
  <si>
    <t>Fang Holdings Limited</t>
  </si>
  <si>
    <t>SOHU</t>
  </si>
  <si>
    <t>Sohu.com Limited</t>
  </si>
  <si>
    <t>WB</t>
  </si>
  <si>
    <t>Weibo Corporation</t>
  </si>
  <si>
    <t>WUBA</t>
  </si>
  <si>
    <t>58.com Inc.</t>
  </si>
  <si>
    <t>BKNG</t>
  </si>
  <si>
    <t>Booking Holdings</t>
  </si>
  <si>
    <t>HES</t>
  </si>
  <si>
    <t>Hess</t>
  </si>
  <si>
    <t>HFC</t>
  </si>
  <si>
    <t>HollyFrontier</t>
  </si>
  <si>
    <t>HGG</t>
  </si>
  <si>
    <t>hhgregg</t>
  </si>
  <si>
    <t>HI</t>
  </si>
  <si>
    <t>Hillenbrand, Inc.</t>
  </si>
  <si>
    <t>HIG</t>
  </si>
  <si>
    <t>Hartford Financial Services Group</t>
  </si>
  <si>
    <t>HII</t>
  </si>
  <si>
    <t>Huntington Ingalls Industries</t>
  </si>
  <si>
    <t>MAT</t>
  </si>
  <si>
    <t>Mattel</t>
  </si>
  <si>
    <t>TRIP</t>
  </si>
  <si>
    <t>TripAdvisor</t>
  </si>
  <si>
    <t>HLT</t>
  </si>
  <si>
    <t>Hilton Worldwide Holdings</t>
  </si>
  <si>
    <t>ADANIPORTS.NS</t>
  </si>
  <si>
    <t>Adani Ports and Special Economic Zone Limited</t>
  </si>
  <si>
    <t>Marine Shipping</t>
  </si>
  <si>
    <t>HMLP</t>
  </si>
  <si>
    <t>Hoegh LNG Partners</t>
  </si>
  <si>
    <t>HOG</t>
  </si>
  <si>
    <t>Harley-Davidson</t>
  </si>
  <si>
    <t>Recreational Vehicles</t>
  </si>
  <si>
    <t>HON</t>
  </si>
  <si>
    <t>Honeywell International</t>
  </si>
  <si>
    <t>HP</t>
  </si>
  <si>
    <t>Helmerich &amp; Payne, Inc.</t>
  </si>
  <si>
    <t>HPE</t>
  </si>
  <si>
    <t>Hewlett Packard Enterprise</t>
  </si>
  <si>
    <t>HPQ</t>
  </si>
  <si>
    <t>HRB</t>
  </si>
  <si>
    <t>H&amp;R Block</t>
  </si>
  <si>
    <t>Personal Services</t>
  </si>
  <si>
    <t>HRL</t>
  </si>
  <si>
    <t>Hormel Foods</t>
  </si>
  <si>
    <t>HRS</t>
  </si>
  <si>
    <t>Harris</t>
  </si>
  <si>
    <t>LYV</t>
  </si>
  <si>
    <t>Live Nation Entertainment</t>
  </si>
  <si>
    <t>HSIC</t>
  </si>
  <si>
    <t>Henry Schein</t>
  </si>
  <si>
    <t>HST</t>
  </si>
  <si>
    <t>Host Hotels &amp; Resorts</t>
  </si>
  <si>
    <t>REIT - Hotel &amp; Motel</t>
  </si>
  <si>
    <t>HSY</t>
  </si>
  <si>
    <t>Hershey</t>
  </si>
  <si>
    <t>Confectioners</t>
  </si>
  <si>
    <t>HTHIY</t>
  </si>
  <si>
    <t>Hitachi</t>
  </si>
  <si>
    <t>HTZ</t>
  </si>
  <si>
    <t>Hertz Global Holdings</t>
  </si>
  <si>
    <t>HUM</t>
  </si>
  <si>
    <t>Humana</t>
  </si>
  <si>
    <t>HUN</t>
  </si>
  <si>
    <t>Huntsman</t>
  </si>
  <si>
    <t>HVT</t>
  </si>
  <si>
    <t>Haverty Furniture</t>
  </si>
  <si>
    <t>HXL</t>
  </si>
  <si>
    <t>Hexcel</t>
  </si>
  <si>
    <t>HXPN</t>
  </si>
  <si>
    <t>IAC</t>
  </si>
  <si>
    <t>InterActiveCorp (Tinder, Match, USA Network,...)</t>
  </si>
  <si>
    <t>IBM</t>
  </si>
  <si>
    <t>International Business Machines</t>
  </si>
  <si>
    <t>NFLX</t>
  </si>
  <si>
    <t>Netflix</t>
  </si>
  <si>
    <t>ICE</t>
  </si>
  <si>
    <t>Intercontinental Exchange</t>
  </si>
  <si>
    <t>CYH</t>
  </si>
  <si>
    <t>Community Health Systems</t>
  </si>
  <si>
    <t>IDA</t>
  </si>
  <si>
    <t>Idacorp</t>
  </si>
  <si>
    <t>EVHC</t>
  </si>
  <si>
    <t>Envision Healthcare</t>
  </si>
  <si>
    <t>IEP</t>
  </si>
  <si>
    <t>Icahn Enterprises L.P.</t>
  </si>
  <si>
    <t>Conglomerates</t>
  </si>
  <si>
    <t>IFF</t>
  </si>
  <si>
    <t>Intl Flavors &amp; Fragrances</t>
  </si>
  <si>
    <t>IGT</t>
  </si>
  <si>
    <t>International Game Technology PLC</t>
  </si>
  <si>
    <t>HCA</t>
  </si>
  <si>
    <t>HCA Holdings</t>
  </si>
  <si>
    <t>MD</t>
  </si>
  <si>
    <t>MEDNAX, Inc.</t>
  </si>
  <si>
    <t>SSY</t>
  </si>
  <si>
    <t>Sysco</t>
  </si>
  <si>
    <t>THC</t>
  </si>
  <si>
    <t>Tenet Healthcare</t>
  </si>
  <si>
    <t>ABMD</t>
  </si>
  <si>
    <t>Abiomed Inc</t>
  </si>
  <si>
    <t>ALGN</t>
  </si>
  <si>
    <t>AlignTech (Invisalign)</t>
  </si>
  <si>
    <t>ARAY</t>
  </si>
  <si>
    <t>Accuray Incorporated</t>
  </si>
  <si>
    <t>INFO</t>
  </si>
  <si>
    <t>HIS Markit Ltd</t>
  </si>
  <si>
    <t>EW</t>
  </si>
  <si>
    <t>Edwards Lifesciences</t>
  </si>
  <si>
    <t>INGR</t>
  </si>
  <si>
    <t>Ingredion</t>
  </si>
  <si>
    <t>INO</t>
  </si>
  <si>
    <t>Inovio Pharmaceuticals, Inc.</t>
  </si>
  <si>
    <t>INT</t>
  </si>
  <si>
    <t>World Fuel Services</t>
  </si>
  <si>
    <t>INTC</t>
  </si>
  <si>
    <t>Intel</t>
  </si>
  <si>
    <t>HOLX</t>
  </si>
  <si>
    <t>Hologic</t>
  </si>
  <si>
    <t>ISRG</t>
  </si>
  <si>
    <t>Intuitive Surgical</t>
  </si>
  <si>
    <t>VAR</t>
  </si>
  <si>
    <t>Varian Medical Systems</t>
  </si>
  <si>
    <t>IP</t>
  </si>
  <si>
    <t>International Paper</t>
  </si>
  <si>
    <t>IPG</t>
  </si>
  <si>
    <t>Interpublic Group</t>
  </si>
  <si>
    <t>AAL.L</t>
  </si>
  <si>
    <t>Anglo American plc</t>
  </si>
  <si>
    <t>Other Industrial Metals &amp; Mining</t>
  </si>
  <si>
    <t>DF</t>
  </si>
  <si>
    <t>Dean Foods</t>
  </si>
  <si>
    <t>HLF</t>
  </si>
  <si>
    <t>Herbalife Nutrition Ltd.</t>
  </si>
  <si>
    <t>POST</t>
  </si>
  <si>
    <t>Post Holdings</t>
  </si>
  <si>
    <t>IRT</t>
  </si>
  <si>
    <t>Independence Realty Trust, Inc.</t>
  </si>
  <si>
    <t>THS</t>
  </si>
  <si>
    <t>TreeHouse Foods</t>
  </si>
  <si>
    <t>BERY</t>
  </si>
  <si>
    <t>Berry Global Group</t>
  </si>
  <si>
    <t>CCK</t>
  </si>
  <si>
    <t>Crown Holdings</t>
  </si>
  <si>
    <t>TUP</t>
  </si>
  <si>
    <t>Tupperware Brands Corporation</t>
  </si>
  <si>
    <t>ITW</t>
  </si>
  <si>
    <t>Illinois Tool Works</t>
  </si>
  <si>
    <t>DISH</t>
  </si>
  <si>
    <t>DISH Network</t>
  </si>
  <si>
    <t>IVC</t>
  </si>
  <si>
    <t>Invacare Corporation</t>
  </si>
  <si>
    <t>IVZ</t>
  </si>
  <si>
    <t>Invesco Ltd.</t>
  </si>
  <si>
    <t>JBHT</t>
  </si>
  <si>
    <t>J.B. Hunt Transport Services</t>
  </si>
  <si>
    <t>JBL</t>
  </si>
  <si>
    <t>Jabil Circuit</t>
  </si>
  <si>
    <t>JBLU</t>
  </si>
  <si>
    <t>JetBlue Airways</t>
  </si>
  <si>
    <t>JCI</t>
  </si>
  <si>
    <t>Johnson Controls International</t>
  </si>
  <si>
    <t>LBTYA</t>
  </si>
  <si>
    <t>Liberty Global</t>
  </si>
  <si>
    <t>ROKU</t>
  </si>
  <si>
    <t>Roku, Inc.</t>
  </si>
  <si>
    <t>GNC</t>
  </si>
  <si>
    <t>GNC Holdings</t>
  </si>
  <si>
    <t>Pharmaceutical Retailers</t>
  </si>
  <si>
    <t>RAD</t>
  </si>
  <si>
    <t>Rite Aid</t>
  </si>
  <si>
    <t>JEF</t>
  </si>
  <si>
    <t>Jefferies Financial Group</t>
  </si>
  <si>
    <t>JHG</t>
  </si>
  <si>
    <t>Janus Henderson Group PLC</t>
  </si>
  <si>
    <t>JLL</t>
  </si>
  <si>
    <t>Jones Lang LaSalle</t>
  </si>
  <si>
    <t>XL</t>
  </si>
  <si>
    <t>XL Catlin</t>
  </si>
  <si>
    <t>Financials</t>
  </si>
  <si>
    <t>Property &amp; Casualty Insurance</t>
  </si>
  <si>
    <t>RLGY</t>
  </si>
  <si>
    <t>Realogy Holdings</t>
  </si>
  <si>
    <t>ZG</t>
  </si>
  <si>
    <t>Zillow Group, Inc.</t>
  </si>
  <si>
    <t>JNJ</t>
  </si>
  <si>
    <t>Johnson &amp; Johnson</t>
  </si>
  <si>
    <t>JNPR</t>
  </si>
  <si>
    <t>Juniper Networks</t>
  </si>
  <si>
    <t>JPM</t>
  </si>
  <si>
    <t>J.P. Morgan Chase</t>
  </si>
  <si>
    <t>IRM</t>
  </si>
  <si>
    <t>Iron Mountain</t>
  </si>
  <si>
    <t>JWN</t>
  </si>
  <si>
    <t>Nordstrom</t>
  </si>
  <si>
    <t>K</t>
  </si>
  <si>
    <t>Kellogg</t>
  </si>
  <si>
    <t>KAMN</t>
  </si>
  <si>
    <t>Kaman</t>
  </si>
  <si>
    <t>KBH</t>
  </si>
  <si>
    <t>KB Home</t>
  </si>
  <si>
    <t>KDP</t>
  </si>
  <si>
    <t>Keurig Dr Pepper</t>
  </si>
  <si>
    <t>KEY</t>
  </si>
  <si>
    <t>KeyCorp</t>
  </si>
  <si>
    <t>NVR</t>
  </si>
  <si>
    <t>DPZ</t>
  </si>
  <si>
    <t>Dominos Pizza</t>
  </si>
  <si>
    <t>KFRC</t>
  </si>
  <si>
    <t>Kforce</t>
  </si>
  <si>
    <t>KFY</t>
  </si>
  <si>
    <t>Korn Ferry</t>
  </si>
  <si>
    <t>KHC</t>
  </si>
  <si>
    <t>Kraft Heinz</t>
  </si>
  <si>
    <t>KIM</t>
  </si>
  <si>
    <t>Kimco Realty</t>
  </si>
  <si>
    <t>PZZA</t>
  </si>
  <si>
    <t>Papa Johns</t>
  </si>
  <si>
    <t>KKR</t>
  </si>
  <si>
    <t>SBUX</t>
  </si>
  <si>
    <t>Starbucks</t>
  </si>
  <si>
    <t>KMB</t>
  </si>
  <si>
    <t>Kimberly-Clark</t>
  </si>
  <si>
    <t>KMI</t>
  </si>
  <si>
    <t>Kinder Morgan</t>
  </si>
  <si>
    <t>GGP</t>
  </si>
  <si>
    <t>General Growth Properties Inc.</t>
  </si>
  <si>
    <t>Retail REITs</t>
  </si>
  <si>
    <t>KO</t>
  </si>
  <si>
    <t>Coca-Cola</t>
  </si>
  <si>
    <t>BMI</t>
  </si>
  <si>
    <t>Badger Meter</t>
  </si>
  <si>
    <t>GRMN</t>
  </si>
  <si>
    <t>Garmin Ltd.</t>
  </si>
  <si>
    <t>ITRI</t>
  </si>
  <si>
    <t>Itron</t>
  </si>
  <si>
    <t>KR</t>
  </si>
  <si>
    <t>Kroger</t>
  </si>
  <si>
    <t>KRA</t>
  </si>
  <si>
    <t>Kraton Corp</t>
  </si>
  <si>
    <t>KSS</t>
  </si>
  <si>
    <t>Kohls</t>
  </si>
  <si>
    <t>KSU</t>
  </si>
  <si>
    <t>Kansas City Southern</t>
  </si>
  <si>
    <t>KEYS</t>
  </si>
  <si>
    <t>Keysight Technologies, Inc.</t>
  </si>
  <si>
    <t>L</t>
  </si>
  <si>
    <t>Loews</t>
  </si>
  <si>
    <t>LAD</t>
  </si>
  <si>
    <t>Lithia Motors</t>
  </si>
  <si>
    <t>ST</t>
  </si>
  <si>
    <t>Sensata Technologies Holding plc</t>
  </si>
  <si>
    <t>LB</t>
  </si>
  <si>
    <t>L Brands</t>
  </si>
  <si>
    <t>ASML</t>
  </si>
  <si>
    <t>ASML Holding ADR</t>
  </si>
  <si>
    <t>LDOS</t>
  </si>
  <si>
    <t>Leidos Holdings</t>
  </si>
  <si>
    <t>LEA</t>
  </si>
  <si>
    <t>Lear</t>
  </si>
  <si>
    <t>LEG</t>
  </si>
  <si>
    <t>Leggett &amp; Platt</t>
  </si>
  <si>
    <t>LEN</t>
  </si>
  <si>
    <t>Lennar</t>
  </si>
  <si>
    <t>LEVI</t>
  </si>
  <si>
    <t>Levis</t>
  </si>
  <si>
    <t>LFC</t>
  </si>
  <si>
    <t>China Life Insurance</t>
  </si>
  <si>
    <t>KLAC</t>
  </si>
  <si>
    <t>KLA-Tencor</t>
  </si>
  <si>
    <t>NVDA</t>
  </si>
  <si>
    <t>Nvidia</t>
  </si>
  <si>
    <t>SWKS</t>
  </si>
  <si>
    <t>Skyworks Solutions</t>
  </si>
  <si>
    <t>LKQ</t>
  </si>
  <si>
    <t>TSM</t>
  </si>
  <si>
    <t>Taiwan Semiconductor Manufacturing Co</t>
  </si>
  <si>
    <t>TXN</t>
  </si>
  <si>
    <t>Texas Instruments</t>
  </si>
  <si>
    <t>LLY</t>
  </si>
  <si>
    <t>Lilly (Eli) &amp; Co.</t>
  </si>
  <si>
    <t>XLNX</t>
  </si>
  <si>
    <t>Xilinx</t>
  </si>
  <si>
    <t>LMT</t>
  </si>
  <si>
    <t>Lockheed Martin</t>
  </si>
  <si>
    <t>LNC</t>
  </si>
  <si>
    <t>Lincoln Financial Group</t>
  </si>
  <si>
    <t>LNG</t>
  </si>
  <si>
    <t>Cheniere Energy</t>
  </si>
  <si>
    <t>LNT</t>
  </si>
  <si>
    <t>Alliant Energy</t>
  </si>
  <si>
    <t>LNVGY</t>
  </si>
  <si>
    <t>Lenovo Group Limited</t>
  </si>
  <si>
    <t>LOW</t>
  </si>
  <si>
    <t>Lowes</t>
  </si>
  <si>
    <t>LRCX</t>
  </si>
  <si>
    <t>Lam Research</t>
  </si>
  <si>
    <t>AKAM</t>
  </si>
  <si>
    <t>Akamai Technologies</t>
  </si>
  <si>
    <t>CRM</t>
  </si>
  <si>
    <t>salesforce.com</t>
  </si>
  <si>
    <t>LTC</t>
  </si>
  <si>
    <t>LTC Properties</t>
  </si>
  <si>
    <t>LUK</t>
  </si>
  <si>
    <t>Leucadia National</t>
  </si>
  <si>
    <t>Multi-Sector Holdings</t>
  </si>
  <si>
    <t>LUKOY</t>
  </si>
  <si>
    <t>LukOil</t>
  </si>
  <si>
    <t>DOMO</t>
  </si>
  <si>
    <t>Domo</t>
  </si>
  <si>
    <t>LUV</t>
  </si>
  <si>
    <t>Southwest Airlines</t>
  </si>
  <si>
    <t>LVS</t>
  </si>
  <si>
    <t>Las Vegas Sands</t>
  </si>
  <si>
    <t>LYB</t>
  </si>
  <si>
    <t>LyondellBasell</t>
  </si>
  <si>
    <t>INTU</t>
  </si>
  <si>
    <t>Intuit</t>
  </si>
  <si>
    <t>LYFT</t>
  </si>
  <si>
    <t>Lyft</t>
  </si>
  <si>
    <t>M</t>
  </si>
  <si>
    <t>Macys</t>
  </si>
  <si>
    <t>PANW</t>
  </si>
  <si>
    <t>Palo Alto Networks, Inc.</t>
  </si>
  <si>
    <t>MAA</t>
  </si>
  <si>
    <t>Mid-America Apartments</t>
  </si>
  <si>
    <t>MAC</t>
  </si>
  <si>
    <t>Macerich</t>
  </si>
  <si>
    <t>PD</t>
  </si>
  <si>
    <t>Pagerduty</t>
  </si>
  <si>
    <t>MAN</t>
  </si>
  <si>
    <t>ManpowerGroup</t>
  </si>
  <si>
    <t>Staffing &amp; Outsourcing Services</t>
  </si>
  <si>
    <t>MAR</t>
  </si>
  <si>
    <t>Marriott International</t>
  </si>
  <si>
    <t>STNE</t>
  </si>
  <si>
    <t>StoneCo</t>
  </si>
  <si>
    <t>MAS</t>
  </si>
  <si>
    <t>Masco</t>
  </si>
  <si>
    <t>SYMC</t>
  </si>
  <si>
    <t>Symantec</t>
  </si>
  <si>
    <t>MATW</t>
  </si>
  <si>
    <t>Matthews International Corporation</t>
  </si>
  <si>
    <t>MBT</t>
  </si>
  <si>
    <t>Mobile Telesystems</t>
  </si>
  <si>
    <t>MCD</t>
  </si>
  <si>
    <t>McDonalds</t>
  </si>
  <si>
    <t>MCHP</t>
  </si>
  <si>
    <t>Microchip Technology</t>
  </si>
  <si>
    <t>MCK</t>
  </si>
  <si>
    <t>McKesson</t>
  </si>
  <si>
    <t>TIVO</t>
  </si>
  <si>
    <t>TiVo Corporation</t>
  </si>
  <si>
    <t>TTD</t>
  </si>
  <si>
    <t>The Trade Desk, Inc.</t>
  </si>
  <si>
    <t>MDLZ</t>
  </si>
  <si>
    <t>Mondelez International</t>
  </si>
  <si>
    <t>MDT</t>
  </si>
  <si>
    <t>Medtronic plc</t>
  </si>
  <si>
    <t>UBER</t>
  </si>
  <si>
    <t>Uber</t>
  </si>
  <si>
    <t>WDAY</t>
  </si>
  <si>
    <t>Workday</t>
  </si>
  <si>
    <t>MET</t>
  </si>
  <si>
    <t>MetLife</t>
  </si>
  <si>
    <t>BKI</t>
  </si>
  <si>
    <t>Black Knight</t>
  </si>
  <si>
    <t>MGM</t>
  </si>
  <si>
    <t>MGM Resorts International</t>
  </si>
  <si>
    <t>CRWD</t>
  </si>
  <si>
    <t>CrowdStrike Holdings, Inc.</t>
  </si>
  <si>
    <t>FFIV</t>
  </si>
  <si>
    <t>F5 Networks</t>
  </si>
  <si>
    <t>MSFT</t>
  </si>
  <si>
    <t>Microsoft</t>
  </si>
  <si>
    <t>MHVYF</t>
  </si>
  <si>
    <t>Mitsubishi Heavy Industries</t>
  </si>
  <si>
    <t>TSS</t>
  </si>
  <si>
    <t>Total System Services</t>
  </si>
  <si>
    <t>MKC</t>
  </si>
  <si>
    <t>McCormick and Company</t>
  </si>
  <si>
    <t>ADSK</t>
  </si>
  <si>
    <t>Autodesk</t>
  </si>
  <si>
    <t>ACIW</t>
  </si>
  <si>
    <t>ACI Worldwide</t>
  </si>
  <si>
    <t>MLHR</t>
  </si>
  <si>
    <t>Herman Miller Inc</t>
  </si>
  <si>
    <t>MLM</t>
  </si>
  <si>
    <t>Martin Marietta Materials</t>
  </si>
  <si>
    <t>MLR</t>
  </si>
  <si>
    <t>Miller Industries</t>
  </si>
  <si>
    <t>MMC</t>
  </si>
  <si>
    <t>Marsh &amp; McLennan</t>
  </si>
  <si>
    <t>MMLP</t>
  </si>
  <si>
    <t>Martin Midstream Partners L.P.</t>
  </si>
  <si>
    <t>MMM</t>
  </si>
  <si>
    <t>3M</t>
  </si>
  <si>
    <t>MMP</t>
  </si>
  <si>
    <t>Magellan Midstream Partners</t>
  </si>
  <si>
    <t>ADBE</t>
  </si>
  <si>
    <t>Adobe Systems</t>
  </si>
  <si>
    <t>MNDO</t>
  </si>
  <si>
    <t>MIND CTI Ltd (Israel) Ord</t>
  </si>
  <si>
    <t>ADYEY</t>
  </si>
  <si>
    <t>Adyen</t>
  </si>
  <si>
    <t>MO</t>
  </si>
  <si>
    <t>Altria Group</t>
  </si>
  <si>
    <t>Tobacco</t>
  </si>
  <si>
    <t>FSLR</t>
  </si>
  <si>
    <t>First Solar</t>
  </si>
  <si>
    <t>Solar</t>
  </si>
  <si>
    <t>FMCC</t>
  </si>
  <si>
    <t>Freddie Mac</t>
  </si>
  <si>
    <t>MOMO</t>
  </si>
  <si>
    <t>Momo Inc</t>
  </si>
  <si>
    <t>MOS</t>
  </si>
  <si>
    <t>Mosaic</t>
  </si>
  <si>
    <t>AMZN</t>
  </si>
  <si>
    <t>Amazon.com</t>
  </si>
  <si>
    <t>MPC</t>
  </si>
  <si>
    <t>Marathon Petroleum</t>
  </si>
  <si>
    <t>MRK</t>
  </si>
  <si>
    <t>Merck</t>
  </si>
  <si>
    <t>AZO</t>
  </si>
  <si>
    <t>AutoZone</t>
  </si>
  <si>
    <t>MRO</t>
  </si>
  <si>
    <t>Marathon Oil</t>
  </si>
  <si>
    <t>MS</t>
  </si>
  <si>
    <t>Morgan Stanley</t>
  </si>
  <si>
    <t>BABA</t>
  </si>
  <si>
    <t>Alibaba</t>
  </si>
  <si>
    <t>MSI</t>
  </si>
  <si>
    <t>Motorola Solutions</t>
  </si>
  <si>
    <t>MTB</t>
  </si>
  <si>
    <t>M&amp;T Bank Corp.</t>
  </si>
  <si>
    <t>BKS</t>
  </si>
  <si>
    <t>Barnes &amp; Noble</t>
  </si>
  <si>
    <t>BZUN</t>
  </si>
  <si>
    <t>Baozun Inc.</t>
  </si>
  <si>
    <t>MTN</t>
  </si>
  <si>
    <t>Vail Resorts</t>
  </si>
  <si>
    <t>FIVE</t>
  </si>
  <si>
    <t>Five Below</t>
  </si>
  <si>
    <t>MU</t>
  </si>
  <si>
    <t>Micron Technology</t>
  </si>
  <si>
    <t>Semiconductor Memory</t>
  </si>
  <si>
    <t>MUSA</t>
  </si>
  <si>
    <t>Murphy USA</t>
  </si>
  <si>
    <t>MXIM</t>
  </si>
  <si>
    <t>Maxim Integrated Products</t>
  </si>
  <si>
    <t>MYL</t>
  </si>
  <si>
    <t>Mylan N.V.</t>
  </si>
  <si>
    <t>GME</t>
  </si>
  <si>
    <t>GameStop</t>
  </si>
  <si>
    <t>NAPRF</t>
  </si>
  <si>
    <t>Naspers Ltd</t>
  </si>
  <si>
    <t>JD</t>
  </si>
  <si>
    <t>JD.com, Inc.</t>
  </si>
  <si>
    <t>NAVI</t>
  </si>
  <si>
    <t>Navient</t>
  </si>
  <si>
    <t>JMEI</t>
  </si>
  <si>
    <t>Jumei International Holding Limited</t>
  </si>
  <si>
    <t>MED</t>
  </si>
  <si>
    <t>Medifast, Inc.</t>
  </si>
  <si>
    <t>NDAQ</t>
  </si>
  <si>
    <t>Nasdaq</t>
  </si>
  <si>
    <t>MELI</t>
  </si>
  <si>
    <t>MercadoLibre</t>
  </si>
  <si>
    <t>NEE</t>
  </si>
  <si>
    <t>NextEra Energy</t>
  </si>
  <si>
    <t>NEM</t>
  </si>
  <si>
    <t>Newmont Goldcorp</t>
  </si>
  <si>
    <t>ORLY</t>
  </si>
  <si>
    <t>OReilly Automotive</t>
  </si>
  <si>
    <t>OSTK</t>
  </si>
  <si>
    <t>Overstock.com</t>
  </si>
  <si>
    <t>NGL</t>
  </si>
  <si>
    <t>NGL Energy Partners</t>
  </si>
  <si>
    <t>NHI</t>
  </si>
  <si>
    <t>National Health Investors</t>
  </si>
  <si>
    <t>NI</t>
  </si>
  <si>
    <t>NiSource</t>
  </si>
  <si>
    <t>NILSY</t>
  </si>
  <si>
    <t>Public Joint Stock Company Mining and Metallurgical Company Norilsk Nickel</t>
  </si>
  <si>
    <t>PIR</t>
  </si>
  <si>
    <t>Pier 1 Imports</t>
  </si>
  <si>
    <t>NJDCY</t>
  </si>
  <si>
    <t>Nidec Corp</t>
  </si>
  <si>
    <t>NKE</t>
  </si>
  <si>
    <t>Nike</t>
  </si>
  <si>
    <t>NLOK</t>
  </si>
  <si>
    <t>NortonLifeLock</t>
  </si>
  <si>
    <t>QRTEA</t>
  </si>
  <si>
    <t>Qurate Retail</t>
  </si>
  <si>
    <t>NLY</t>
  </si>
  <si>
    <t>Annaly Capital</t>
  </si>
  <si>
    <t>NNN</t>
  </si>
  <si>
    <t>National Retail Properties</t>
  </si>
  <si>
    <t>TA</t>
  </si>
  <si>
    <t>TravelCenters of America</t>
  </si>
  <si>
    <t>NOC</t>
  </si>
  <si>
    <t>Northrop Grumman</t>
  </si>
  <si>
    <t>NOV</t>
  </si>
  <si>
    <t>National Oilwell Varco</t>
  </si>
  <si>
    <t>TCS</t>
  </si>
  <si>
    <t>Tata Consultancy Services</t>
  </si>
  <si>
    <t>ULTA</t>
  </si>
  <si>
    <t>Ulta Beauty</t>
  </si>
  <si>
    <t>VIPS</t>
  </si>
  <si>
    <t>Vipshop Holdings Limited</t>
  </si>
  <si>
    <t>NRG</t>
  </si>
  <si>
    <t>NRG Energy</t>
  </si>
  <si>
    <t>NRZ</t>
  </si>
  <si>
    <t>New Residential Investment Corp</t>
  </si>
  <si>
    <t>NSC</t>
  </si>
  <si>
    <t>Norfolk Southern</t>
  </si>
  <si>
    <t>AKS</t>
  </si>
  <si>
    <t>AK Steel Holding</t>
  </si>
  <si>
    <t>Steel</t>
  </si>
  <si>
    <t>NSRGY</t>
  </si>
  <si>
    <t>Netsle</t>
  </si>
  <si>
    <t>NTAP</t>
  </si>
  <si>
    <t>NetApp</t>
  </si>
  <si>
    <t>Data Storage</t>
  </si>
  <si>
    <t>NTES</t>
  </si>
  <si>
    <t>NetEase</t>
  </si>
  <si>
    <t>NTRS</t>
  </si>
  <si>
    <t>Northern Trust</t>
  </si>
  <si>
    <t>NUE</t>
  </si>
  <si>
    <t>Nucor</t>
  </si>
  <si>
    <t>CA</t>
  </si>
  <si>
    <t>CA Technologies Inc</t>
  </si>
  <si>
    <t>Information Technology</t>
  </si>
  <si>
    <t>Systems Software</t>
  </si>
  <si>
    <t>FTR</t>
  </si>
  <si>
    <t>Frontier Communications</t>
  </si>
  <si>
    <t>LILAK</t>
  </si>
  <si>
    <t>Liberty Latin America Ltd</t>
  </si>
  <si>
    <t>ZM</t>
  </si>
  <si>
    <t>Zoom</t>
  </si>
  <si>
    <t>NVS</t>
  </si>
  <si>
    <t>Novartis</t>
  </si>
  <si>
    <t>NWL</t>
  </si>
  <si>
    <t>Newell Brands Inc.</t>
  </si>
  <si>
    <t>NWS</t>
  </si>
  <si>
    <t>News Corp.</t>
  </si>
  <si>
    <t>NWSA</t>
  </si>
  <si>
    <t>News Corp. (Class A)</t>
  </si>
  <si>
    <t>NAV</t>
  </si>
  <si>
    <t>Navistar International</t>
  </si>
  <si>
    <t>Truck Manufacturing</t>
  </si>
  <si>
    <t>NXPI</t>
  </si>
  <si>
    <t>NXP Semiconductors</t>
  </si>
  <si>
    <t>PCG</t>
  </si>
  <si>
    <t>PG&amp;E Corp.</t>
  </si>
  <si>
    <t>NYMT</t>
  </si>
  <si>
    <t>New York Mortgage Trust Inc</t>
  </si>
  <si>
    <t>O</t>
  </si>
  <si>
    <t>Realty Income Corporation</t>
  </si>
  <si>
    <t>WTR</t>
  </si>
  <si>
    <t>Aqua America Stock</t>
  </si>
  <si>
    <t>ABNB</t>
  </si>
  <si>
    <t>Airbnb</t>
  </si>
  <si>
    <t>OC</t>
  </si>
  <si>
    <t>Owens Corning</t>
  </si>
  <si>
    <t>OCIP</t>
  </si>
  <si>
    <t>OCI Partners LP</t>
  </si>
  <si>
    <t>ODP</t>
  </si>
  <si>
    <t>Office Depot</t>
  </si>
  <si>
    <t>OI</t>
  </si>
  <si>
    <t>Owens-Illinois</t>
  </si>
  <si>
    <t>OKE</t>
  </si>
  <si>
    <t>Oneok</t>
  </si>
  <si>
    <t>AMWL</t>
  </si>
  <si>
    <t>Amwell</t>
  </si>
  <si>
    <t>OLCLY</t>
  </si>
  <si>
    <t>Oriental Land</t>
  </si>
  <si>
    <t>OLED</t>
  </si>
  <si>
    <t>Universal Display Corporation</t>
  </si>
  <si>
    <t>OLN</t>
  </si>
  <si>
    <t>Olin Corporation</t>
  </si>
  <si>
    <t>OMC</t>
  </si>
  <si>
    <t>Omnicom Group</t>
  </si>
  <si>
    <t>ON</t>
  </si>
  <si>
    <t>ON Semiconductor Corporation</t>
  </si>
  <si>
    <t>ANTHM</t>
  </si>
  <si>
    <t>ORC</t>
  </si>
  <si>
    <t>Orchid Island Capital Inc</t>
  </si>
  <si>
    <t>ORCL</t>
  </si>
  <si>
    <t>Oracle</t>
  </si>
  <si>
    <t>ORI</t>
  </si>
  <si>
    <t>Old Republic International</t>
  </si>
  <si>
    <t>ARRY</t>
  </si>
  <si>
    <t>Array BioPharma Inc.</t>
  </si>
  <si>
    <t>OSK</t>
  </si>
  <si>
    <t>Oshkosh</t>
  </si>
  <si>
    <t>BILI</t>
  </si>
  <si>
    <t>Bilibili Inc</t>
  </si>
  <si>
    <t>OTELLO.ST</t>
  </si>
  <si>
    <t>Otello Corp</t>
  </si>
  <si>
    <t>OTTR</t>
  </si>
  <si>
    <t>Otter Tail Corporation</t>
  </si>
  <si>
    <t>OXY</t>
  </si>
  <si>
    <t>Occidental Petroleum Corporation</t>
  </si>
  <si>
    <t>BL</t>
  </si>
  <si>
    <t>Blackline</t>
  </si>
  <si>
    <t>PAA</t>
  </si>
  <si>
    <t>Plains All American Pipeline</t>
  </si>
  <si>
    <t>PAG</t>
  </si>
  <si>
    <t>Penske Automotive Group</t>
  </si>
  <si>
    <t>PAGP</t>
  </si>
  <si>
    <t>Plains GP Holdings</t>
  </si>
  <si>
    <t>BLDP</t>
  </si>
  <si>
    <t>Ballard Power Systems</t>
  </si>
  <si>
    <t>BPTH</t>
  </si>
  <si>
    <t>Bio-Path</t>
  </si>
  <si>
    <t>CATX</t>
  </si>
  <si>
    <t>Credit Acceptance Corp</t>
  </si>
  <si>
    <t>PAYX</t>
  </si>
  <si>
    <t>Paychex</t>
  </si>
  <si>
    <t>PBF</t>
  </si>
  <si>
    <t>PBF Energy</t>
  </si>
  <si>
    <t>CGROU</t>
  </si>
  <si>
    <t>Collective Growth Corp</t>
  </si>
  <si>
    <t>PCAR</t>
  </si>
  <si>
    <t>Paccar</t>
  </si>
  <si>
    <t>CHWY</t>
  </si>
  <si>
    <t>Chewy</t>
  </si>
  <si>
    <t>CODX</t>
  </si>
  <si>
    <t>Co-Diagnostics</t>
  </si>
  <si>
    <t>COMP</t>
  </si>
  <si>
    <t>NASDAQ Composite Index</t>
  </si>
  <si>
    <t>PEG</t>
  </si>
  <si>
    <t>Public Service Enterprise Group</t>
  </si>
  <si>
    <t>CPRT</t>
  </si>
  <si>
    <t>Copart Inc</t>
  </si>
  <si>
    <t>PEP</t>
  </si>
  <si>
    <t>PepsiCo</t>
  </si>
  <si>
    <t>PER</t>
  </si>
  <si>
    <t>Sandridge Permian Trust</t>
  </si>
  <si>
    <t>PETS</t>
  </si>
  <si>
    <t>PetMed</t>
  </si>
  <si>
    <t>PFE</t>
  </si>
  <si>
    <t>Pfizer</t>
  </si>
  <si>
    <t>PFG</t>
  </si>
  <si>
    <t>Principal Financial</t>
  </si>
  <si>
    <t>CSGP</t>
  </si>
  <si>
    <t>CoStar Group</t>
  </si>
  <si>
    <t>PG</t>
  </si>
  <si>
    <t>Procter &amp; Gamble</t>
  </si>
  <si>
    <t>DASH</t>
  </si>
  <si>
    <t>DoorDash</t>
  </si>
  <si>
    <t>PGR</t>
  </si>
  <si>
    <t>Progressive</t>
  </si>
  <si>
    <t>PH</t>
  </si>
  <si>
    <t>Parker-Hannifin</t>
  </si>
  <si>
    <t>PHM</t>
  </si>
  <si>
    <t>PulteGroup</t>
  </si>
  <si>
    <t>PII</t>
  </si>
  <si>
    <t>Polaris Industries</t>
  </si>
  <si>
    <t>PINS</t>
  </si>
  <si>
    <t>Pinterest</t>
  </si>
  <si>
    <t>DDOG</t>
  </si>
  <si>
    <t>Datadog</t>
  </si>
  <si>
    <t>PKG</t>
  </si>
  <si>
    <t>Packaging Corp. of America</t>
  </si>
  <si>
    <t>PKI</t>
  </si>
  <si>
    <t>PerkinElmer</t>
  </si>
  <si>
    <t>PKX</t>
  </si>
  <si>
    <t>Posco</t>
  </si>
  <si>
    <t>PLD</t>
  </si>
  <si>
    <t>Prologis</t>
  </si>
  <si>
    <t>DHXM</t>
  </si>
  <si>
    <t>DHX Media</t>
  </si>
  <si>
    <t>PLT</t>
  </si>
  <si>
    <t>Plantronics</t>
  </si>
  <si>
    <t>DNN</t>
  </si>
  <si>
    <t>Denison Mines</t>
  </si>
  <si>
    <t>PM</t>
  </si>
  <si>
    <t>Philip Morris International</t>
  </si>
  <si>
    <t>PNC</t>
  </si>
  <si>
    <t>PNC Financial Services Group</t>
  </si>
  <si>
    <t>PNW</t>
  </si>
  <si>
    <t>Pinnacle West Capital</t>
  </si>
  <si>
    <t>DYNT</t>
  </si>
  <si>
    <t>Dynatronics</t>
  </si>
  <si>
    <t>ECPG</t>
  </si>
  <si>
    <t>Encore Capital Group</t>
  </si>
  <si>
    <t>PPG</t>
  </si>
  <si>
    <t>PPG Industries</t>
  </si>
  <si>
    <t>PPL</t>
  </si>
  <si>
    <t>PRU</t>
  </si>
  <si>
    <t>Prudential Financial, Inc.</t>
  </si>
  <si>
    <t>PSO</t>
  </si>
  <si>
    <t>Pearson</t>
  </si>
  <si>
    <t>PSX</t>
  </si>
  <si>
    <t>Phillips 66</t>
  </si>
  <si>
    <t>EDU</t>
  </si>
  <si>
    <t>New Oriental Education and Tech Ads</t>
  </si>
  <si>
    <t>EICHERMOT.NS</t>
  </si>
  <si>
    <t>Eicher Motors Limited</t>
  </si>
  <si>
    <t>PVH</t>
  </si>
  <si>
    <t>PWR</t>
  </si>
  <si>
    <t>Quanta Services</t>
  </si>
  <si>
    <t>PXD</t>
  </si>
  <si>
    <t>Pioneer Natural Resources</t>
  </si>
  <si>
    <t>ENPH</t>
  </si>
  <si>
    <t>Enphase Energy</t>
  </si>
  <si>
    <t>PZN</t>
  </si>
  <si>
    <t>Pzena Investment Management</t>
  </si>
  <si>
    <t>ETP</t>
  </si>
  <si>
    <t>Energy Transfer Partners L.P.</t>
  </si>
  <si>
    <t>QCOM</t>
  </si>
  <si>
    <t>Qualcomm</t>
  </si>
  <si>
    <t>ETSY</t>
  </si>
  <si>
    <t>Etsy</t>
  </si>
  <si>
    <t>FDC</t>
  </si>
  <si>
    <t>First Data</t>
  </si>
  <si>
    <t>QRVO</t>
  </si>
  <si>
    <t>Qorvo</t>
  </si>
  <si>
    <t>QSR</t>
  </si>
  <si>
    <t>Restaurant Brands International</t>
  </si>
  <si>
    <t>QTRH</t>
  </si>
  <si>
    <t>Quarterhill Inc</t>
  </si>
  <si>
    <t>FICO</t>
  </si>
  <si>
    <t>Fair Isaac</t>
  </si>
  <si>
    <t>FINL</t>
  </si>
  <si>
    <t>Finish Line</t>
  </si>
  <si>
    <t>R</t>
  </si>
  <si>
    <t>Ryder System</t>
  </si>
  <si>
    <t>FLT</t>
  </si>
  <si>
    <t>Fleetcor Tech</t>
  </si>
  <si>
    <t>FTNT</t>
  </si>
  <si>
    <t>Fortinet Inc</t>
  </si>
  <si>
    <t>RCL</t>
  </si>
  <si>
    <t>Royal Caribbean Cruises Ltd</t>
  </si>
  <si>
    <t>GIII</t>
  </si>
  <si>
    <t>G-III Apparel Group</t>
  </si>
  <si>
    <t>HCLTECH.NS</t>
  </si>
  <si>
    <t>HCL Technologies Limited</t>
  </si>
  <si>
    <t>HINDUNILVR.NS</t>
  </si>
  <si>
    <t>Hindustan Unilever</t>
  </si>
  <si>
    <t>RF</t>
  </si>
  <si>
    <t>Regions Financial</t>
  </si>
  <si>
    <t>RGA</t>
  </si>
  <si>
    <t>Reinsurance Group of America</t>
  </si>
  <si>
    <t>Insurance - Reinsurance</t>
  </si>
  <si>
    <t>RHI</t>
  </si>
  <si>
    <t>Robert Half International</t>
  </si>
  <si>
    <t>HMI</t>
  </si>
  <si>
    <t>Huami</t>
  </si>
  <si>
    <t>RIO</t>
  </si>
  <si>
    <t>Rio Tinto</t>
  </si>
  <si>
    <t>RJF</t>
  </si>
  <si>
    <t>Raymond James Financial</t>
  </si>
  <si>
    <t>RL</t>
  </si>
  <si>
    <t>Ralph Lauren</t>
  </si>
  <si>
    <t>HSC</t>
  </si>
  <si>
    <t>Harsco Corp</t>
  </si>
  <si>
    <t>IBN</t>
  </si>
  <si>
    <t>ICICI Bank</t>
  </si>
  <si>
    <t>RNW</t>
  </si>
  <si>
    <t>Transalta Renewables</t>
  </si>
  <si>
    <t>ICON</t>
  </si>
  <si>
    <t>Iconix Brand Group</t>
  </si>
  <si>
    <t>IIVI</t>
  </si>
  <si>
    <t>II-VI Inc</t>
  </si>
  <si>
    <t>IMB.L</t>
  </si>
  <si>
    <t>Imperial Brands Plc</t>
  </si>
  <si>
    <t>ROP</t>
  </si>
  <si>
    <t>Roper Industries</t>
  </si>
  <si>
    <t>ROST</t>
  </si>
  <si>
    <t>Ross Stores</t>
  </si>
  <si>
    <t>INCY</t>
  </si>
  <si>
    <t>Incyte Corporation</t>
  </si>
  <si>
    <t>ROYT</t>
  </si>
  <si>
    <t>Pacific Coast Oil Trust</t>
  </si>
  <si>
    <t>INDUSINDBK.NS</t>
  </si>
  <si>
    <t>IndusInd Bank Limited</t>
  </si>
  <si>
    <t>RRC</t>
  </si>
  <si>
    <t>Range Resources Corp.</t>
  </si>
  <si>
    <t>RRD</t>
  </si>
  <si>
    <t>R.R. Donnelley &amp; Sons Company</t>
  </si>
  <si>
    <t>RS</t>
  </si>
  <si>
    <t>Reliance Steel &amp; Aluminum</t>
  </si>
  <si>
    <t>RSG</t>
  </si>
  <si>
    <t>Republic Services</t>
  </si>
  <si>
    <t>Waste Management</t>
  </si>
  <si>
    <t>INFN</t>
  </si>
  <si>
    <t>Infinera Corporation</t>
  </si>
  <si>
    <t>INFY.NS</t>
  </si>
  <si>
    <t>Infosys Limited</t>
  </si>
  <si>
    <t>SABR</t>
  </si>
  <si>
    <t>Sabre Corporation</t>
  </si>
  <si>
    <t>SAFT</t>
  </si>
  <si>
    <t>Safety Insurance Group</t>
  </si>
  <si>
    <t>SAH</t>
  </si>
  <si>
    <t>Sonic Automotive</t>
  </si>
  <si>
    <t>INVA</t>
  </si>
  <si>
    <t>Innoviva</t>
  </si>
  <si>
    <t>SAN</t>
  </si>
  <si>
    <t>Santander</t>
  </si>
  <si>
    <t>IPGP</t>
  </si>
  <si>
    <t>IPG Photonics Corp</t>
  </si>
  <si>
    <t>ITC.BO</t>
  </si>
  <si>
    <t>ITC Limited</t>
  </si>
  <si>
    <t>SBGI</t>
  </si>
  <si>
    <t>Sinclair Broadcast Group</t>
  </si>
  <si>
    <t>SBNY</t>
  </si>
  <si>
    <t>Signature Bank</t>
  </si>
  <si>
    <t>ITV.L</t>
  </si>
  <si>
    <t>ITV Plc</t>
  </si>
  <si>
    <t>ITX.MC</t>
  </si>
  <si>
    <t>Industria de Diseno Textil SA</t>
  </si>
  <si>
    <t>SCHW</t>
  </si>
  <si>
    <t>Charles Schwab</t>
  </si>
  <si>
    <t>SCI</t>
  </si>
  <si>
    <t>Service Corporation International</t>
  </si>
  <si>
    <t>JE/:LN</t>
  </si>
  <si>
    <t>Just Eat PLC</t>
  </si>
  <si>
    <t>SE</t>
  </si>
  <si>
    <t>Sea Limited</t>
  </si>
  <si>
    <t>SEB</t>
  </si>
  <si>
    <t>Seaboard</t>
  </si>
  <si>
    <t>JMAT.L</t>
  </si>
  <si>
    <t>Johnson Matthey Plc</t>
  </si>
  <si>
    <t>SEE</t>
  </si>
  <si>
    <t>Sealed Air</t>
  </si>
  <si>
    <t>JMIA</t>
  </si>
  <si>
    <t>Jumia Technologies</t>
  </si>
  <si>
    <t>JSWSTEEL.NS</t>
  </si>
  <si>
    <t>JSW Steel Limited</t>
  </si>
  <si>
    <t>KEY.TO</t>
  </si>
  <si>
    <t>Keyera Corp.</t>
  </si>
  <si>
    <t>SHAK</t>
  </si>
  <si>
    <t>Shake Shack</t>
  </si>
  <si>
    <t>SHI</t>
  </si>
  <si>
    <t>Sinopec</t>
  </si>
  <si>
    <t>KIO.JO</t>
  </si>
  <si>
    <t>Kumba Iron Ore Limited</t>
  </si>
  <si>
    <t>KOPN</t>
  </si>
  <si>
    <t>Kopin Corporation</t>
  </si>
  <si>
    <t>KOTAKBANK.NS</t>
  </si>
  <si>
    <t>Kotak Mahindra Bank</t>
  </si>
  <si>
    <t>SHW</t>
  </si>
  <si>
    <t>Sherwin-Williams</t>
  </si>
  <si>
    <t>SINA</t>
  </si>
  <si>
    <t>SINA Corporation</t>
  </si>
  <si>
    <t>SIRI</t>
  </si>
  <si>
    <t>Sirius XM Holdins Inc</t>
  </si>
  <si>
    <t>SIX</t>
  </si>
  <si>
    <t>Six Flags Entertainment Group</t>
  </si>
  <si>
    <t>SJI</t>
  </si>
  <si>
    <t>South Jersey Industries, Inc.</t>
  </si>
  <si>
    <t>SJM</t>
  </si>
  <si>
    <t>JM Smucker</t>
  </si>
  <si>
    <t>SJR</t>
  </si>
  <si>
    <t>Shaw Communications</t>
  </si>
  <si>
    <t>SKT</t>
  </si>
  <si>
    <t>Tanger Factory Outleet Centers</t>
  </si>
  <si>
    <t>KYCCF</t>
  </si>
  <si>
    <t>Keyence Corp</t>
  </si>
  <si>
    <t>SLM</t>
  </si>
  <si>
    <t>SLM Corp</t>
  </si>
  <si>
    <t>LAZR</t>
  </si>
  <si>
    <t>Luminar Tech</t>
  </si>
  <si>
    <t>SMLP</t>
  </si>
  <si>
    <t>Summit Midstream Partners LP</t>
  </si>
  <si>
    <t>SNA</t>
  </si>
  <si>
    <t>Snap-on</t>
  </si>
  <si>
    <t>Tools &amp; Accessories</t>
  </si>
  <si>
    <t>SNAP</t>
  </si>
  <si>
    <t>Snap</t>
  </si>
  <si>
    <t>LLNW</t>
  </si>
  <si>
    <t>Limelight Networks</t>
  </si>
  <si>
    <t>SNE</t>
  </si>
  <si>
    <t>Sony</t>
  </si>
  <si>
    <t>LMND</t>
  </si>
  <si>
    <t>Lemonade</t>
  </si>
  <si>
    <t>LSXMK</t>
  </si>
  <si>
    <t>Liberty SiriusXM</t>
  </si>
  <si>
    <t>SNR</t>
  </si>
  <si>
    <t>New Senior Investment Group Inc</t>
  </si>
  <si>
    <t>SNX</t>
  </si>
  <si>
    <t>Synnex</t>
  </si>
  <si>
    <t>SNY</t>
  </si>
  <si>
    <t>Sanofi</t>
  </si>
  <si>
    <t>SO</t>
  </si>
  <si>
    <t>Southern</t>
  </si>
  <si>
    <t>MARUTI.NS</t>
  </si>
  <si>
    <t>Maruti Suzuki India Limited</t>
  </si>
  <si>
    <t>SONO</t>
  </si>
  <si>
    <t>Sonos</t>
  </si>
  <si>
    <t>MHO</t>
  </si>
  <si>
    <t>MI Homes</t>
  </si>
  <si>
    <t>SPG</t>
  </si>
  <si>
    <t>Simon Property Group</t>
  </si>
  <si>
    <t>MIDD</t>
  </si>
  <si>
    <t>Middleby</t>
  </si>
  <si>
    <t>SPLK</t>
  </si>
  <si>
    <t>Splunk</t>
  </si>
  <si>
    <t>SPOT</t>
  </si>
  <si>
    <t>Spotify</t>
  </si>
  <si>
    <t>MKTX</t>
  </si>
  <si>
    <t>MarketAxess Holdings</t>
  </si>
  <si>
    <t>SPR</t>
  </si>
  <si>
    <t>Axel Springer SE</t>
  </si>
  <si>
    <t>SPTN</t>
  </si>
  <si>
    <t>SpartanNash</t>
  </si>
  <si>
    <t>MNDI.L</t>
  </si>
  <si>
    <t>Mondi Plc</t>
  </si>
  <si>
    <t>MOD</t>
  </si>
  <si>
    <t>Modine Manufacturing</t>
  </si>
  <si>
    <t>SR</t>
  </si>
  <si>
    <t>Spire Inc.</t>
  </si>
  <si>
    <t>SRE</t>
  </si>
  <si>
    <t>Sempra Energy</t>
  </si>
  <si>
    <t>MOTHERSUMI.NS</t>
  </si>
  <si>
    <t>Motherson Sumi Systems Limited</t>
  </si>
  <si>
    <t>SRLP</t>
  </si>
  <si>
    <t>Sprague Resources LP</t>
  </si>
  <si>
    <t>MRNA</t>
  </si>
  <si>
    <t>Moderna</t>
  </si>
  <si>
    <t>SSNC</t>
  </si>
  <si>
    <t>SS&amp;C Technologies Holdings Inc</t>
  </si>
  <si>
    <t>MYOK</t>
  </si>
  <si>
    <t>MyoKardia</t>
  </si>
  <si>
    <t>NDA-FI.HE</t>
  </si>
  <si>
    <t>Nordea Bank Abp</t>
  </si>
  <si>
    <t>NDRO</t>
  </si>
  <si>
    <t>Enduro Royalty Trust</t>
  </si>
  <si>
    <t>NEWR</t>
  </si>
  <si>
    <t>New Relic Inc</t>
  </si>
  <si>
    <t>NIO</t>
  </si>
  <si>
    <t>Nio Inc</t>
  </si>
  <si>
    <t>NLS</t>
  </si>
  <si>
    <t>Nautilus</t>
  </si>
  <si>
    <t>STL</t>
  </si>
  <si>
    <t>Sterling Bancorp</t>
  </si>
  <si>
    <t>STLD</t>
  </si>
  <si>
    <t>Steel Dynamics</t>
  </si>
  <si>
    <t>NNVC</t>
  </si>
  <si>
    <t>NanoViricides</t>
  </si>
  <si>
    <t>STOR</t>
  </si>
  <si>
    <t>STORE Capital</t>
  </si>
  <si>
    <t>STT</t>
  </si>
  <si>
    <t>State Street Corp.</t>
  </si>
  <si>
    <t>STX</t>
  </si>
  <si>
    <t>Seagate Technology</t>
  </si>
  <si>
    <t>STZ</t>
  </si>
  <si>
    <t>Constellation Brands (Corona, Svedka,...)</t>
  </si>
  <si>
    <t>SU</t>
  </si>
  <si>
    <t>Suncor Energy</t>
  </si>
  <si>
    <t>SUN</t>
  </si>
  <si>
    <t>Sunoco LP</t>
  </si>
  <si>
    <t>NOVN.SW</t>
  </si>
  <si>
    <t>Novartis AG</t>
  </si>
  <si>
    <t>NOVO-B.CO</t>
  </si>
  <si>
    <t>Novo Nordisk AS</t>
  </si>
  <si>
    <t>NOW</t>
  </si>
  <si>
    <t>ServiceNow</t>
  </si>
  <si>
    <t>SWK</t>
  </si>
  <si>
    <t>Stanley Black &amp; Decker</t>
  </si>
  <si>
    <t>NVAX</t>
  </si>
  <si>
    <t>Novavax</t>
  </si>
  <si>
    <t>SWN</t>
  </si>
  <si>
    <t>Southwestern Energy</t>
  </si>
  <si>
    <t>SYF</t>
  </si>
  <si>
    <t>Synchrony Financial</t>
  </si>
  <si>
    <t>SYK</t>
  </si>
  <si>
    <t>Stryker</t>
  </si>
  <si>
    <t>NVGS</t>
  </si>
  <si>
    <t>Navigator Holdings</t>
  </si>
  <si>
    <t>SYY</t>
  </si>
  <si>
    <t>T</t>
  </si>
  <si>
    <t>AT&amp;T</t>
  </si>
  <si>
    <t>NXT.L</t>
  </si>
  <si>
    <t>Next Plc</t>
  </si>
  <si>
    <t>TAK</t>
  </si>
  <si>
    <t>Takeda Pharmaceuticals</t>
  </si>
  <si>
    <t>OA</t>
  </si>
  <si>
    <t>Orbital ATK</t>
  </si>
  <si>
    <t>TAP</t>
  </si>
  <si>
    <t>Molson Coors Brewing</t>
  </si>
  <si>
    <t>OBSV</t>
  </si>
  <si>
    <t>Observa SA</t>
  </si>
  <si>
    <t>OKTA</t>
  </si>
  <si>
    <t>Okta</t>
  </si>
  <si>
    <t>OPK</t>
  </si>
  <si>
    <t>OPKO Health</t>
  </si>
  <si>
    <t>TD</t>
  </si>
  <si>
    <t>The Toronto-Dominion Bank</t>
  </si>
  <si>
    <t>P</t>
  </si>
  <si>
    <t>Pandora</t>
  </si>
  <si>
    <t>TDOC</t>
  </si>
  <si>
    <t>Teladoc</t>
  </si>
  <si>
    <t>PAGS</t>
  </si>
  <si>
    <t>PagSeguro Digital Ltd</t>
  </si>
  <si>
    <t>PAYC</t>
  </si>
  <si>
    <t>Paycom Software</t>
  </si>
  <si>
    <t>PBYI</t>
  </si>
  <si>
    <t>Puma Biotech</t>
  </si>
  <si>
    <t>TECK</t>
  </si>
  <si>
    <t>Teck Resources Limited</t>
  </si>
  <si>
    <t>TEL</t>
  </si>
  <si>
    <t>TE Connectivity Ltd.</t>
  </si>
  <si>
    <t>PENN</t>
  </si>
  <si>
    <t>Penn National Gaming Inc</t>
  </si>
  <si>
    <t>TER</t>
  </si>
  <si>
    <t>Teradyne</t>
  </si>
  <si>
    <t>PLNT</t>
  </si>
  <si>
    <t>Planet Fitness</t>
  </si>
  <si>
    <t>TGI</t>
  </si>
  <si>
    <t>Triumph Group</t>
  </si>
  <si>
    <t>TGNA</t>
  </si>
  <si>
    <t>TEGNA</t>
  </si>
  <si>
    <t>TGT</t>
  </si>
  <si>
    <t>Target</t>
  </si>
  <si>
    <t>PLUG</t>
  </si>
  <si>
    <t>Plug Power</t>
  </si>
  <si>
    <t>THO</t>
  </si>
  <si>
    <t>Thor Industries</t>
  </si>
  <si>
    <t>POWERGRID.NS</t>
  </si>
  <si>
    <t>Power Grid Corporation of India Limited</t>
  </si>
  <si>
    <t>TIF</t>
  </si>
  <si>
    <t>Tiffany</t>
  </si>
  <si>
    <t>Luxury Goods</t>
  </si>
  <si>
    <t>PTON</t>
  </si>
  <si>
    <t>Peloton Interactive</t>
  </si>
  <si>
    <t>TJX</t>
  </si>
  <si>
    <t>TKC</t>
  </si>
  <si>
    <t>TeurkcellIletisimHizmetlieri AS</t>
  </si>
  <si>
    <t>PUSH</t>
  </si>
  <si>
    <t>Publix Super Markets</t>
  </si>
  <si>
    <t>QQQ</t>
  </si>
  <si>
    <t>Invesco QQQ Trust Series 1 NASDAQ ETF</t>
  </si>
  <si>
    <t>TMO</t>
  </si>
  <si>
    <t>Thermo Fisher Scientific</t>
  </si>
  <si>
    <t>TMUS</t>
  </si>
  <si>
    <t>T-Mobile</t>
  </si>
  <si>
    <t>TOL</t>
  </si>
  <si>
    <t>Toll Brothers, Inc.</t>
  </si>
  <si>
    <t>TOUR</t>
  </si>
  <si>
    <t>Tuniu Corporation</t>
  </si>
  <si>
    <t>TPR</t>
  </si>
  <si>
    <t>Tapestry</t>
  </si>
  <si>
    <t>QTT</t>
  </si>
  <si>
    <t>Qutoutiao</t>
  </si>
  <si>
    <t>QTWO</t>
  </si>
  <si>
    <t>Q2 Holdings</t>
  </si>
  <si>
    <t>TRGP</t>
  </si>
  <si>
    <t>Targa Resources</t>
  </si>
  <si>
    <t>RAMP</t>
  </si>
  <si>
    <t>LiveRamp Holdings</t>
  </si>
  <si>
    <t>RCUS</t>
  </si>
  <si>
    <t>Arcus Biosciences</t>
  </si>
  <si>
    <t>TRP</t>
  </si>
  <si>
    <t>TC Energy</t>
  </si>
  <si>
    <t>TRV</t>
  </si>
  <si>
    <t>Travelers Cos.</t>
  </si>
  <si>
    <t>RELIANCE.NS</t>
  </si>
  <si>
    <t>Reliance Industries Limited</t>
  </si>
  <si>
    <t>TS</t>
  </si>
  <si>
    <t>Tenaris S.A.</t>
  </si>
  <si>
    <t>TSCO</t>
  </si>
  <si>
    <t>Tractor Supply</t>
  </si>
  <si>
    <t>RHT</t>
  </si>
  <si>
    <t>Red Hat Inc</t>
  </si>
  <si>
    <t>TSLX</t>
  </si>
  <si>
    <t>TPG Speciality Lending</t>
  </si>
  <si>
    <t>RNG</t>
  </si>
  <si>
    <t>RingCentral Inc</t>
  </si>
  <si>
    <t>TSN</t>
  </si>
  <si>
    <t>Tyson Foods</t>
  </si>
  <si>
    <t>RNWK</t>
  </si>
  <si>
    <t>RealNetworks</t>
  </si>
  <si>
    <t>ROX</t>
  </si>
  <si>
    <t>Castle Brands</t>
  </si>
  <si>
    <t>TTM</t>
  </si>
  <si>
    <t>Tata Motors Ltd</t>
  </si>
  <si>
    <t>TTMI</t>
  </si>
  <si>
    <t>TTM Technologies, Inc.</t>
  </si>
  <si>
    <t>TTWO</t>
  </si>
  <si>
    <t>Take-Two Interactive Software</t>
  </si>
  <si>
    <t>TU</t>
  </si>
  <si>
    <t>Telus Corp</t>
  </si>
  <si>
    <t>RP</t>
  </si>
  <si>
    <t>Realpage</t>
  </si>
  <si>
    <t>TW</t>
  </si>
  <si>
    <t>Tradeweb</t>
  </si>
  <si>
    <t>RUN</t>
  </si>
  <si>
    <t>Sunrun</t>
  </si>
  <si>
    <t>TWTR</t>
  </si>
  <si>
    <t>Twitter</t>
  </si>
  <si>
    <t>SCC.BK</t>
  </si>
  <si>
    <t>Siam Cement Public Company Limited</t>
  </si>
  <si>
    <t>TXT</t>
  </si>
  <si>
    <t>Textron</t>
  </si>
  <si>
    <t>UA</t>
  </si>
  <si>
    <t>Under Armour</t>
  </si>
  <si>
    <t>UAL</t>
  </si>
  <si>
    <t>United Continental Holdings</t>
  </si>
  <si>
    <t>SDRL</t>
  </si>
  <si>
    <t>Seadrill</t>
  </si>
  <si>
    <t>UBS</t>
  </si>
  <si>
    <t>UBS Group AG</t>
  </si>
  <si>
    <t>UBSI</t>
  </si>
  <si>
    <t>United Bankshares, Inc.</t>
  </si>
  <si>
    <t>SEDG</t>
  </si>
  <si>
    <t>SolarEdge</t>
  </si>
  <si>
    <t>UDR</t>
  </si>
  <si>
    <t>UDR Inc</t>
  </si>
  <si>
    <t>UGI</t>
  </si>
  <si>
    <t>UHS</t>
  </si>
  <si>
    <t>Universal Health Services</t>
  </si>
  <si>
    <t>SHOP</t>
  </si>
  <si>
    <t>Shopify</t>
  </si>
  <si>
    <t>UIVAX</t>
  </si>
  <si>
    <t>USAA</t>
  </si>
  <si>
    <t>UL</t>
  </si>
  <si>
    <t>Unilever</t>
  </si>
  <si>
    <t>SKX</t>
  </si>
  <si>
    <t>Sketchers</t>
  </si>
  <si>
    <t>UNFI</t>
  </si>
  <si>
    <t>United Natural Foods</t>
  </si>
  <si>
    <t>UNH</t>
  </si>
  <si>
    <t>United Health Group Inc.</t>
  </si>
  <si>
    <t>UNM</t>
  </si>
  <si>
    <t>Unum Group</t>
  </si>
  <si>
    <t>UNP</t>
  </si>
  <si>
    <t>Union Pacific</t>
  </si>
  <si>
    <t>SMDS.L</t>
  </si>
  <si>
    <t>DS Smith Plc</t>
  </si>
  <si>
    <t>UPS</t>
  </si>
  <si>
    <t>United Parcel Service</t>
  </si>
  <si>
    <t>URBN</t>
  </si>
  <si>
    <t>Urban Outfitters</t>
  </si>
  <si>
    <t>URI</t>
  </si>
  <si>
    <t>United Rentals</t>
  </si>
  <si>
    <t>USAC</t>
  </si>
  <si>
    <t>Usa Compression Partners LP</t>
  </si>
  <si>
    <t>USB</t>
  </si>
  <si>
    <t>U.S. Bancorp</t>
  </si>
  <si>
    <t>USFD</t>
  </si>
  <si>
    <t>US Foods Holding</t>
  </si>
  <si>
    <t>UTX</t>
  </si>
  <si>
    <t>United Technologies</t>
  </si>
  <si>
    <t>SNDL</t>
  </si>
  <si>
    <t>Sundial Growers</t>
  </si>
  <si>
    <t>VAC</t>
  </si>
  <si>
    <t>Marriott Vacations Worldwide</t>
  </si>
  <si>
    <t>SNOW</t>
  </si>
  <si>
    <t>Snowflake</t>
  </si>
  <si>
    <t>SNPS</t>
  </si>
  <si>
    <t>Synopsys</t>
  </si>
  <si>
    <t>VEDL</t>
  </si>
  <si>
    <t>Vedanta Limited</t>
  </si>
  <si>
    <t>SPCE</t>
  </si>
  <si>
    <t>Virgin Galactic</t>
  </si>
  <si>
    <t>VFC</t>
  </si>
  <si>
    <t>V.F. Corp.</t>
  </si>
  <si>
    <t>VGR</t>
  </si>
  <si>
    <t>Vector Group Ltd.</t>
  </si>
  <si>
    <t>SPWH</t>
  </si>
  <si>
    <t>Sportsman Warehouse</t>
  </si>
  <si>
    <t>VIR</t>
  </si>
  <si>
    <t>Vir Biotech</t>
  </si>
  <si>
    <t>VIRT</t>
  </si>
  <si>
    <t>Virtu Financial</t>
  </si>
  <si>
    <t>VIV</t>
  </si>
  <si>
    <t>Telefonica Brasil</t>
  </si>
  <si>
    <t>SQ</t>
  </si>
  <si>
    <t>Square</t>
  </si>
  <si>
    <t>VLO</t>
  </si>
  <si>
    <t>Valero Energy</t>
  </si>
  <si>
    <t>VMC</t>
  </si>
  <si>
    <t>Vulcan Materials</t>
  </si>
  <si>
    <t>VNO</t>
  </si>
  <si>
    <t>Vornado Realty Trust</t>
  </si>
  <si>
    <t>VOD</t>
  </si>
  <si>
    <t>Vodafone Group Plc</t>
  </si>
  <si>
    <t>SRNE</t>
  </si>
  <si>
    <t>Sorrento Therapeutics</t>
  </si>
  <si>
    <t>VOYA</t>
  </si>
  <si>
    <t>Voya Financial</t>
  </si>
  <si>
    <t>VRS</t>
  </si>
  <si>
    <t>Verso Corp</t>
  </si>
  <si>
    <t>VRSK</t>
  </si>
  <si>
    <t>Verisk Analytics</t>
  </si>
  <si>
    <t>VRSN</t>
  </si>
  <si>
    <t>Verisign Inc.</t>
  </si>
  <si>
    <t>VRTV</t>
  </si>
  <si>
    <t>Veritiv</t>
  </si>
  <si>
    <t>VRTX</t>
  </si>
  <si>
    <t>Vertex Pharmaceuticals Inc</t>
  </si>
  <si>
    <t>SSNLF</t>
  </si>
  <si>
    <t>Samsung Electron</t>
  </si>
  <si>
    <t>VST</t>
  </si>
  <si>
    <t>Vistra Energy</t>
  </si>
  <si>
    <t>VTR</t>
  </si>
  <si>
    <t>Ventas</t>
  </si>
  <si>
    <t>VTRS</t>
  </si>
  <si>
    <t>Viatris</t>
  </si>
  <si>
    <t>VZ</t>
  </si>
  <si>
    <t>Verizon</t>
  </si>
  <si>
    <t>W</t>
  </si>
  <si>
    <t>Wayfair</t>
  </si>
  <si>
    <t>STFGX</t>
  </si>
  <si>
    <t>State Farm Insurance</t>
  </si>
  <si>
    <t>SWI</t>
  </si>
  <si>
    <t>Solarwinds</t>
  </si>
  <si>
    <t>WBA</t>
  </si>
  <si>
    <t>Walgreens Boots Alliance</t>
  </si>
  <si>
    <t>TAL</t>
  </si>
  <si>
    <t>TAL Education Group</t>
  </si>
  <si>
    <t>WBK</t>
  </si>
  <si>
    <t>Westpac Banking Group</t>
  </si>
  <si>
    <t>TATN.ME</t>
  </si>
  <si>
    <t>PJSC Tatneft</t>
  </si>
  <si>
    <t>TCEHY</t>
  </si>
  <si>
    <t>Tencent Holdings Ltd</t>
  </si>
  <si>
    <t>TEAM</t>
  </si>
  <si>
    <t>Atlassian Corporation</t>
  </si>
  <si>
    <t>WDC</t>
  </si>
  <si>
    <t>Western Digital</t>
  </si>
  <si>
    <t>WEC</t>
  </si>
  <si>
    <t>WEC Energy Group</t>
  </si>
  <si>
    <t>WEN</t>
  </si>
  <si>
    <t>Wendys</t>
  </si>
  <si>
    <t>WFC</t>
  </si>
  <si>
    <t>Wells Fargo</t>
  </si>
  <si>
    <t>WHR</t>
  </si>
  <si>
    <t>Whirlpool</t>
  </si>
  <si>
    <t>WIN</t>
  </si>
  <si>
    <t>TECHM.NS</t>
  </si>
  <si>
    <t>Tech Mahindra Limited</t>
  </si>
  <si>
    <t>TLRY</t>
  </si>
  <si>
    <t>Tilray Cannabis</t>
  </si>
  <si>
    <t>WLK</t>
  </si>
  <si>
    <t>Westlake Chemical</t>
  </si>
  <si>
    <t>TREX</t>
  </si>
  <si>
    <t>Trex</t>
  </si>
  <si>
    <t>WM</t>
  </si>
  <si>
    <t>WMB</t>
  </si>
  <si>
    <t>Williams</t>
  </si>
  <si>
    <t>WMC</t>
  </si>
  <si>
    <t>Western Asset Mortgage Capital Corp</t>
  </si>
  <si>
    <t>WMT</t>
  </si>
  <si>
    <t>Walmart</t>
  </si>
  <si>
    <t>WORK</t>
  </si>
  <si>
    <t>Slack</t>
  </si>
  <si>
    <t>WPC</t>
  </si>
  <si>
    <t>W.P. Carey</t>
  </si>
  <si>
    <t>WPG</t>
  </si>
  <si>
    <t>Washington Prime Group Inc</t>
  </si>
  <si>
    <t>WRB</t>
  </si>
  <si>
    <t>W.R. Berkley</t>
  </si>
  <si>
    <t>WRK</t>
  </si>
  <si>
    <t>WestRock</t>
  </si>
  <si>
    <t>WSM</t>
  </si>
  <si>
    <t>Williams-Sonoma, Inc.</t>
  </si>
  <si>
    <t>TRXC</t>
  </si>
  <si>
    <t>TransEnterix</t>
  </si>
  <si>
    <t>TWLO</t>
  </si>
  <si>
    <t>Twilio</t>
  </si>
  <si>
    <t>WTS</t>
  </si>
  <si>
    <t>Watts Water Tech</t>
  </si>
  <si>
    <t>WU</t>
  </si>
  <si>
    <t>Western Union</t>
  </si>
  <si>
    <t>UI</t>
  </si>
  <si>
    <t>Ubiquiti Inc</t>
  </si>
  <si>
    <t>WY</t>
  </si>
  <si>
    <t>Weyerhaeuser</t>
  </si>
  <si>
    <t>VEEV</t>
  </si>
  <si>
    <t>Veeva Systems Inc</t>
  </si>
  <si>
    <t>WYNN</t>
  </si>
  <si>
    <t>Wynn Resorts</t>
  </si>
  <si>
    <t>X</t>
  </si>
  <si>
    <t>United States Steel</t>
  </si>
  <si>
    <t>XEC</t>
  </si>
  <si>
    <t>Cimarex Energy</t>
  </si>
  <si>
    <t>XEL</t>
  </si>
  <si>
    <t>Xcel Energy</t>
  </si>
  <si>
    <t>VLDR</t>
  </si>
  <si>
    <t>Velodyne Lidar</t>
  </si>
  <si>
    <t>XIACY</t>
  </si>
  <si>
    <t>Xiaomi</t>
  </si>
  <si>
    <t>VOO</t>
  </si>
  <si>
    <t>Vanguard SP 500 ETF</t>
  </si>
  <si>
    <t>VSAT</t>
  </si>
  <si>
    <t>Visasat</t>
  </si>
  <si>
    <t>XOM</t>
  </si>
  <si>
    <t>Exxon Mobil</t>
  </si>
  <si>
    <t>XPO</t>
  </si>
  <si>
    <t>XPO Logistics</t>
  </si>
  <si>
    <t>XRAY</t>
  </si>
  <si>
    <t>Dentsply Sirona</t>
  </si>
  <si>
    <t>XRX</t>
  </si>
  <si>
    <t>Xerox</t>
  </si>
  <si>
    <t>WIPRO.BO</t>
  </si>
  <si>
    <t>Wipro Limited</t>
  </si>
  <si>
    <t>XYL</t>
  </si>
  <si>
    <t>Xylem</t>
  </si>
  <si>
    <t>WIX</t>
  </si>
  <si>
    <t>Wix.com</t>
  </si>
  <si>
    <t>YELP</t>
  </si>
  <si>
    <t>Yelp Inc.</t>
  </si>
  <si>
    <t>WTB.L</t>
  </si>
  <si>
    <t>Whitbread Plc</t>
  </si>
  <si>
    <t>XHW</t>
  </si>
  <si>
    <t>YNDX</t>
  </si>
  <si>
    <t>Yandex</t>
  </si>
  <si>
    <t>YUM</t>
  </si>
  <si>
    <t>Yum Brands</t>
  </si>
  <si>
    <t>YUMC</t>
  </si>
  <si>
    <t>Yum China Holdings</t>
  </si>
  <si>
    <t>YY</t>
  </si>
  <si>
    <t>YY Inc</t>
  </si>
  <si>
    <t>XYF</t>
  </si>
  <si>
    <t>X Financials</t>
  </si>
  <si>
    <t>ZBH</t>
  </si>
  <si>
    <t>Zimmer Biomet Holdings</t>
  </si>
  <si>
    <t>ZEN</t>
  </si>
  <si>
    <t>Zendesk</t>
  </si>
  <si>
    <t>YESBANK.NS</t>
  </si>
  <si>
    <t>Yes Bank Limited</t>
  </si>
  <si>
    <t>ZION</t>
  </si>
  <si>
    <t>Zions Bancorp</t>
  </si>
  <si>
    <t>YEXT</t>
  </si>
  <si>
    <t>Yext</t>
  </si>
  <si>
    <t>ZNGA</t>
  </si>
  <si>
    <t>Zynga Inc</t>
  </si>
  <si>
    <t>ZAYO</t>
  </si>
  <si>
    <t>Zayo</t>
  </si>
  <si>
    <t>CELG</t>
  </si>
  <si>
    <t>Celgene</t>
  </si>
  <si>
    <t>CYOU</t>
  </si>
  <si>
    <t>Changyou.com Limited</t>
  </si>
  <si>
    <t>DISCK</t>
  </si>
  <si>
    <t>Discovery</t>
  </si>
  <si>
    <t>HCP</t>
  </si>
  <si>
    <t>TWX</t>
  </si>
  <si>
    <t>Time Warner</t>
  </si>
  <si>
    <t>Broadcasting &amp; Cable TV</t>
  </si>
  <si>
    <t>ULTI</t>
  </si>
  <si>
    <t>Ultimate Software</t>
  </si>
  <si>
    <t>VIAC</t>
  </si>
  <si>
    <t>ViacomCBS</t>
  </si>
  <si>
    <t>nan</t>
  </si>
  <si>
    <t>na</t>
  </si>
  <si>
    <t>yahoo diagram</t>
  </si>
  <si>
    <t>innovation, hiring, sustainability, earnings</t>
  </si>
  <si>
    <t>dividends, innovation</t>
  </si>
  <si>
    <t>innovation, earnings</t>
  </si>
  <si>
    <t>innovation, hiring, earnings</t>
  </si>
  <si>
    <t>earning</t>
  </si>
  <si>
    <t>innovation</t>
  </si>
  <si>
    <t>earnings</t>
  </si>
  <si>
    <t>hiring, earnings</t>
  </si>
  <si>
    <t>rec</t>
  </si>
  <si>
    <t>avg</t>
  </si>
  <si>
    <t>PolicyGenius</t>
  </si>
  <si>
    <t>ZocDoc</t>
  </si>
  <si>
    <t>Amazon</t>
  </si>
  <si>
    <t>Salary</t>
  </si>
  <si>
    <t>Bonus</t>
  </si>
  <si>
    <t>Equity</t>
  </si>
  <si>
    <t>6000 stock</t>
  </si>
  <si>
    <t>401K</t>
  </si>
  <si>
    <t>No</t>
  </si>
  <si>
    <t>Location</t>
  </si>
  <si>
    <t>Seattle</t>
  </si>
  <si>
    <t>happiness</t>
  </si>
  <si>
    <t>5 out of 10</t>
  </si>
  <si>
    <t>rec to friend</t>
  </si>
  <si>
    <t>bus outlook</t>
  </si>
  <si>
    <t>career ops</t>
  </si>
  <si>
    <t>Mindshare</t>
  </si>
  <si>
    <t>title</t>
  </si>
  <si>
    <t>Manager, BI</t>
  </si>
  <si>
    <t>top ceo - 2014,2013</t>
  </si>
  <si>
    <t>76/85</t>
  </si>
  <si>
    <t>3.9/4</t>
  </si>
  <si>
    <t>69/83</t>
  </si>
  <si>
    <t>3.9/4.4</t>
  </si>
  <si>
    <t>60/71</t>
  </si>
  <si>
    <t>3.5/3.6</t>
  </si>
  <si>
    <t>3.7/3.8</t>
  </si>
  <si>
    <t>65/71</t>
  </si>
  <si>
    <t>Senior Data Analyst</t>
  </si>
  <si>
    <t>Business Intelligence Engineer</t>
  </si>
  <si>
    <t>Senior Product Analyst</t>
  </si>
  <si>
    <t>73 people</t>
  </si>
  <si>
    <t>28 people</t>
  </si>
  <si>
    <t xml:space="preserve"> </t>
  </si>
  <si>
    <t>NYC</t>
  </si>
  <si>
    <t>2% match</t>
  </si>
  <si>
    <t>Peloton</t>
  </si>
  <si>
    <t>Product Analyst, eCommerce</t>
  </si>
  <si>
    <t>Wizards of the Coast</t>
  </si>
  <si>
    <t>Median Tenure</t>
  </si>
  <si>
    <t>NJ</t>
  </si>
  <si>
    <t>rb</t>
  </si>
  <si>
    <t>Sirius</t>
  </si>
  <si>
    <t>Mediacom</t>
  </si>
  <si>
    <t>~120000</t>
  </si>
  <si>
    <t>Manager</t>
  </si>
  <si>
    <t>Advanced Analytics Specialist</t>
  </si>
  <si>
    <t>Seattle - open to new locations</t>
  </si>
  <si>
    <t>https://lifeatexpediagroup.com/jobs/job?jobid=R-55982</t>
  </si>
  <si>
    <t>Linkedin Top company</t>
  </si>
  <si>
    <t>Options</t>
  </si>
  <si>
    <t>$23460 to purchase some of company (I'm given the option to purchase some of the company)</t>
  </si>
  <si>
    <t>5% ($7,000)</t>
  </si>
  <si>
    <t>Unknown</t>
  </si>
  <si>
    <t>NYC or Seattle or DC….</t>
  </si>
  <si>
    <t>Employee Happiness</t>
  </si>
  <si>
    <t>% of Employees that Would Recommend Company to a Friend</t>
  </si>
  <si>
    <t>Company Rating</t>
  </si>
  <si>
    <t>Business Outlook</t>
  </si>
  <si>
    <t>Glassdoor (Higher Values are Better)</t>
  </si>
  <si>
    <t>Career Opportunities</t>
  </si>
  <si>
    <t>Job Title</t>
  </si>
  <si>
    <t>Awards</t>
  </si>
  <si>
    <t>Glassdoor Top CEO (2013, 2014)</t>
  </si>
  <si>
    <t>Median Job Tenure of Everyone in Company</t>
  </si>
  <si>
    <t>1.7 (Might be Artificially Lower Due to Warehouse Employees)</t>
  </si>
  <si>
    <t>Team</t>
  </si>
  <si>
    <t>Prime Video</t>
  </si>
  <si>
    <t>Data</t>
  </si>
  <si>
    <t>2.9 years</t>
  </si>
  <si>
    <t>Work/Life Balance</t>
  </si>
  <si>
    <t>1.7 years</t>
  </si>
  <si>
    <t>Glassdoor (Higher Values are Better) (It is technically possible for Amazon values to be artificially lower bc of its bad warehouses)</t>
  </si>
  <si>
    <t>It is assumed that working at Amazon could also help make it easier to get a job at other FAANG companies (Facebook, Apple, Netflix, Google)</t>
  </si>
  <si>
    <t>Options ( to purchase some of company (I'm given the option to purchase some of the company; I'd have to pay the))</t>
  </si>
  <si>
    <t>Instacart</t>
  </si>
  <si>
    <t>Ads</t>
  </si>
  <si>
    <t>1.3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</si>
</sst>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$&quot;#,##0_);[Red]\(&quot;$&quot;#,##0\)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 style="thin">
        <color theme="4" tint="0.39997558519241921"/>
      </left>
      <right/>
      <top/>
      <bottom/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14" fontId="0" fillId="0" borderId="0" xfId="0" applyNumberFormat="1"/>
    <xf numFmtId="0" fontId="0" fillId="33" borderId="0" xfId="0" applyFill="1"/>
    <xf numFmtId="0" fontId="16" fillId="0" borderId="0" xfId="0" applyFont="1"/>
    <xf numFmtId="0" fontId="0" fillId="0" borderId="0" xfId="0" applyFill="1"/>
    <xf numFmtId="16" fontId="0" fillId="0" borderId="0" xfId="0" applyNumberFormat="1"/>
    <xf numFmtId="0" fontId="14" fillId="0" borderId="0" xfId="0" applyFont="1"/>
    <xf numFmtId="0" fontId="14" fillId="0" borderId="0" xfId="0" applyFont="1" applyFill="1"/>
    <xf numFmtId="9" fontId="0" fillId="0" borderId="0" xfId="1" applyFont="1"/>
    <xf numFmtId="0" fontId="18" fillId="0" borderId="0" xfId="0" applyFont="1"/>
    <xf numFmtId="0" fontId="0" fillId="34" borderId="0" xfId="0" applyFill="1"/>
    <xf numFmtId="9" fontId="0" fillId="0" borderId="0" xfId="0" applyNumberFormat="1"/>
    <xf numFmtId="0" fontId="0" fillId="36" borderId="11" xfId="0" applyFont="1" applyFill="1" applyBorder="1"/>
    <xf numFmtId="0" fontId="0" fillId="0" borderId="11" xfId="0" applyFont="1" applyBorder="1"/>
    <xf numFmtId="0" fontId="0" fillId="36" borderId="12" xfId="0" applyFont="1" applyFill="1" applyBorder="1"/>
    <xf numFmtId="0" fontId="0" fillId="0" borderId="12" xfId="0" applyFont="1" applyBorder="1"/>
    <xf numFmtId="0" fontId="13" fillId="35" borderId="11" xfId="0" applyFont="1" applyFill="1" applyBorder="1"/>
    <xf numFmtId="0" fontId="13" fillId="35" borderId="12" xfId="0" applyFont="1" applyFill="1" applyBorder="1"/>
    <xf numFmtId="0" fontId="14" fillId="0" borderId="11" xfId="0" applyFont="1" applyBorder="1"/>
    <xf numFmtId="0" fontId="13" fillId="35" borderId="10" xfId="0" applyFont="1" applyFill="1" applyBorder="1" applyAlignment="1">
      <alignment horizontal="center" vertical="center"/>
    </xf>
    <xf numFmtId="0" fontId="13" fillId="35" borderId="11" xfId="0" applyFont="1" applyFill="1" applyBorder="1" applyAlignment="1">
      <alignment horizontal="center" vertical="center"/>
    </xf>
    <xf numFmtId="9" fontId="0" fillId="0" borderId="11" xfId="0" applyNumberFormat="1" applyFont="1" applyBorder="1" applyAlignment="1">
      <alignment horizontal="center" vertical="center" wrapText="1"/>
    </xf>
    <xf numFmtId="0" fontId="16" fillId="36" borderId="10" xfId="0" applyFont="1" applyFill="1" applyBorder="1" applyAlignment="1">
      <alignment horizontal="center" vertical="center" wrapText="1"/>
    </xf>
    <xf numFmtId="6" fontId="0" fillId="36" borderId="11" xfId="0" applyNumberFormat="1" applyFont="1" applyFill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0" fillId="0" borderId="11" xfId="0" applyFont="1" applyBorder="1" applyAlignment="1">
      <alignment horizontal="center" vertical="center" wrapText="1"/>
    </xf>
    <xf numFmtId="0" fontId="0" fillId="36" borderId="11" xfId="0" applyFont="1" applyFill="1" applyBorder="1" applyAlignment="1">
      <alignment horizontal="center" vertical="center" wrapText="1"/>
    </xf>
    <xf numFmtId="16" fontId="0" fillId="0" borderId="11" xfId="0" applyNumberFormat="1" applyFont="1" applyBorder="1" applyAlignment="1">
      <alignment horizontal="center" vertical="center" wrapText="1"/>
    </xf>
    <xf numFmtId="0" fontId="14" fillId="0" borderId="11" xfId="0" applyFont="1" applyBorder="1" applyAlignment="1">
      <alignment horizontal="center" vertical="center" wrapText="1"/>
    </xf>
    <xf numFmtId="0" fontId="0" fillId="0" borderId="10" xfId="0" applyFont="1" applyBorder="1" applyAlignment="1">
      <alignment horizontal="center" vertical="center" wrapText="1"/>
    </xf>
    <xf numFmtId="0" fontId="0" fillId="36" borderId="10" xfId="0" applyFont="1" applyFill="1" applyBorder="1" applyAlignment="1">
      <alignment horizontal="center" vertical="center" wrapText="1"/>
    </xf>
    <xf numFmtId="9" fontId="0" fillId="36" borderId="11" xfId="0" applyNumberFormat="1" applyFont="1" applyFill="1" applyBorder="1" applyAlignment="1">
      <alignment horizontal="center" vertical="center" wrapText="1"/>
    </xf>
    <xf numFmtId="0" fontId="18" fillId="0" borderId="11" xfId="0" applyFont="1" applyBorder="1" applyAlignment="1">
      <alignment horizontal="center" vertical="center" wrapText="1"/>
    </xf>
    <xf numFmtId="0" fontId="0" fillId="36" borderId="0" xfId="0" applyFont="1" applyFill="1" applyBorder="1" applyAlignment="1">
      <alignment horizontal="center" vertical="center" wrapText="1"/>
    </xf>
    <xf numFmtId="6" fontId="0" fillId="0" borderId="11" xfId="0" applyNumberFormat="1" applyFont="1" applyBorder="1" applyAlignment="1">
      <alignment horizontal="center" vertical="center" wrapText="1"/>
    </xf>
    <xf numFmtId="0" fontId="13" fillId="35" borderId="0" xfId="0" applyFont="1" applyFill="1" applyBorder="1" applyAlignment="1">
      <alignment horizontal="center" vertical="center"/>
    </xf>
    <xf numFmtId="0" fontId="16" fillId="36" borderId="10" xfId="0" applyFont="1" applyFill="1" applyBorder="1" applyAlignment="1">
      <alignment horizontal="center" vertical="center" wrapText="1"/>
    </xf>
    <xf numFmtId="0" fontId="16" fillId="36" borderId="11" xfId="0" applyFont="1" applyFill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ill>
        <patternFill patternType="solid">
          <fgColor rgb="FFFFC000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B10:O25" totalsRowShown="0" headerRowDxfId="0">
  <autoFilter ref="B10:O25" xr:uid="{00000000-0009-0000-0100-000001000000}"/>
  <tableColumns count="14">
    <tableColumn id="1" xr3:uid="{00000000-0010-0000-0000-000001000000}" name=" "/>
    <tableColumn id="2" xr3:uid="{00000000-0010-0000-0000-000002000000}" name="PolicyGenius"/>
    <tableColumn id="3" xr3:uid="{00000000-0010-0000-0000-000003000000}" name="Tesla"/>
    <tableColumn id="4" xr3:uid="{00000000-0010-0000-0000-000004000000}" name="ZocDoc"/>
    <tableColumn id="5" xr3:uid="{00000000-0010-0000-0000-000005000000}" name="Amazon"/>
    <tableColumn id="6" xr3:uid="{00000000-0010-0000-0000-000006000000}" name="Mindshare"/>
    <tableColumn id="7" xr3:uid="{00000000-0010-0000-0000-000007000000}" name="Peloton"/>
    <tableColumn id="8" xr3:uid="{00000000-0010-0000-0000-000008000000}" name="Wizards of the Coast"/>
    <tableColumn id="9" xr3:uid="{00000000-0010-0000-0000-000009000000}" name="Verizon"/>
    <tableColumn id="10" xr3:uid="{00000000-0010-0000-0000-00000A000000}" name="Walmart"/>
    <tableColumn id="11" xr3:uid="{00000000-0010-0000-0000-00000B000000}" name="rb"/>
    <tableColumn id="12" xr3:uid="{00000000-0010-0000-0000-00000C000000}" name="Expedia"/>
    <tableColumn id="13" xr3:uid="{00000000-0010-0000-0000-00000D000000}" name="Sirius"/>
    <tableColumn id="14" xr3:uid="{00000000-0010-0000-0000-00000E000000}" name="Mediacom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B1121"/>
  <sheetViews>
    <sheetView tabSelected="1" workbookViewId="0">
      <selection activeCell="D1131" sqref="D1131:E1148"/>
    </sheetView>
  </sheetViews>
  <sheetFormatPr baseColWidth="10" defaultRowHeight="16" x14ac:dyDescent="0.2"/>
  <cols>
    <col min="5" max="5" width="35.83203125" bestFit="1" customWidth="1"/>
    <col min="11" max="11" width="0" hidden="1" customWidth="1"/>
    <col min="13" max="13" width="13" customWidth="1"/>
    <col min="14" max="14" width="0" hidden="1" customWidth="1"/>
  </cols>
  <sheetData>
    <row r="1" spans="1:28" x14ac:dyDescent="0.2">
      <c r="A1" t="s">
        <v>0</v>
      </c>
      <c r="B1" t="s">
        <v>1</v>
      </c>
      <c r="C1" t="s">
        <v>2414</v>
      </c>
      <c r="E1" t="s">
        <v>2405</v>
      </c>
      <c r="F1" t="s">
        <v>2</v>
      </c>
      <c r="G1" t="s">
        <v>3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9</v>
      </c>
      <c r="N1" t="s">
        <v>10</v>
      </c>
      <c r="O1" t="s">
        <v>11</v>
      </c>
      <c r="P1" t="s">
        <v>12</v>
      </c>
      <c r="Q1" t="s">
        <v>13</v>
      </c>
      <c r="R1" t="s">
        <v>14</v>
      </c>
      <c r="S1" t="s">
        <v>15</v>
      </c>
      <c r="T1" t="s">
        <v>16</v>
      </c>
      <c r="U1" t="s">
        <v>17</v>
      </c>
      <c r="V1" t="s">
        <v>18</v>
      </c>
      <c r="W1" t="s">
        <v>2415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</row>
    <row r="2" spans="1:28" hidden="1" x14ac:dyDescent="0.2">
      <c r="A2" t="s">
        <v>24</v>
      </c>
      <c r="B2" t="s">
        <v>25</v>
      </c>
      <c r="F2">
        <v>79</v>
      </c>
      <c r="H2">
        <v>1</v>
      </c>
      <c r="I2">
        <v>0</v>
      </c>
      <c r="K2" s="1">
        <v>43316</v>
      </c>
      <c r="L2" t="s">
        <v>26</v>
      </c>
      <c r="M2" t="s">
        <v>27</v>
      </c>
      <c r="N2" s="1">
        <v>44189</v>
      </c>
      <c r="O2">
        <v>719</v>
      </c>
      <c r="P2">
        <v>16400</v>
      </c>
      <c r="Q2">
        <v>0.62</v>
      </c>
      <c r="R2">
        <v>38.42</v>
      </c>
      <c r="S2">
        <v>20.94</v>
      </c>
      <c r="T2">
        <v>23.52</v>
      </c>
      <c r="U2">
        <v>12.74</v>
      </c>
      <c r="V2">
        <v>9.58</v>
      </c>
      <c r="X2">
        <v>495</v>
      </c>
      <c r="Y2">
        <v>3</v>
      </c>
      <c r="Z2">
        <v>13.47</v>
      </c>
      <c r="AA2">
        <v>7.54</v>
      </c>
      <c r="AB2">
        <v>14.95</v>
      </c>
    </row>
    <row r="3" spans="1:28" hidden="1" x14ac:dyDescent="0.2">
      <c r="A3" t="s">
        <v>28</v>
      </c>
      <c r="B3" t="s">
        <v>29</v>
      </c>
      <c r="H3">
        <v>1</v>
      </c>
      <c r="I3">
        <v>0</v>
      </c>
      <c r="L3" t="s">
        <v>30</v>
      </c>
      <c r="M3" t="s">
        <v>31</v>
      </c>
      <c r="N3" s="1">
        <v>44194</v>
      </c>
      <c r="R3">
        <v>3.06</v>
      </c>
      <c r="S3">
        <v>-25.66</v>
      </c>
      <c r="T3" t="s">
        <v>32</v>
      </c>
      <c r="U3" t="s">
        <v>32</v>
      </c>
      <c r="V3" t="s">
        <v>32</v>
      </c>
      <c r="Y3">
        <v>0</v>
      </c>
      <c r="Z3">
        <v>-5.03</v>
      </c>
      <c r="AA3">
        <v>-3.24</v>
      </c>
      <c r="AB3">
        <v>-11.82</v>
      </c>
    </row>
    <row r="4" spans="1:28" hidden="1" x14ac:dyDescent="0.2">
      <c r="A4" t="s">
        <v>78</v>
      </c>
      <c r="B4" t="s">
        <v>79</v>
      </c>
      <c r="F4">
        <v>10</v>
      </c>
      <c r="G4">
        <v>1.8</v>
      </c>
      <c r="H4">
        <v>1</v>
      </c>
      <c r="I4">
        <v>0</v>
      </c>
      <c r="J4" t="s">
        <v>80</v>
      </c>
      <c r="K4" s="1">
        <v>43716</v>
      </c>
      <c r="L4" t="s">
        <v>39</v>
      </c>
      <c r="M4" t="s">
        <v>60</v>
      </c>
      <c r="N4" s="1">
        <v>44197</v>
      </c>
      <c r="O4">
        <v>699</v>
      </c>
      <c r="P4" t="s">
        <v>2403</v>
      </c>
      <c r="Q4" t="s">
        <v>32</v>
      </c>
      <c r="R4">
        <v>10.51</v>
      </c>
      <c r="S4">
        <v>35.380000000000003</v>
      </c>
      <c r="T4">
        <v>26.06</v>
      </c>
      <c r="U4">
        <v>27.02</v>
      </c>
      <c r="V4" t="s">
        <v>32</v>
      </c>
      <c r="X4" t="s">
        <v>32</v>
      </c>
      <c r="Y4">
        <v>7</v>
      </c>
      <c r="Z4" t="s">
        <v>2403</v>
      </c>
      <c r="AA4" t="s">
        <v>2403</v>
      </c>
      <c r="AB4" t="s">
        <v>2403</v>
      </c>
    </row>
    <row r="5" spans="1:28" hidden="1" x14ac:dyDescent="0.2">
      <c r="A5" t="s">
        <v>37</v>
      </c>
      <c r="B5" t="s">
        <v>38</v>
      </c>
      <c r="F5">
        <v>61</v>
      </c>
      <c r="H5">
        <v>0</v>
      </c>
      <c r="I5">
        <v>0</v>
      </c>
      <c r="K5" s="1">
        <v>43316</v>
      </c>
      <c r="L5" t="s">
        <v>39</v>
      </c>
      <c r="M5" t="s">
        <v>40</v>
      </c>
      <c r="N5" s="1">
        <v>44189</v>
      </c>
      <c r="P5">
        <v>110500</v>
      </c>
      <c r="Q5">
        <v>1.42</v>
      </c>
      <c r="R5">
        <v>-45.43</v>
      </c>
      <c r="S5">
        <v>-31.65</v>
      </c>
      <c r="T5">
        <v>-16.48</v>
      </c>
      <c r="U5">
        <v>-1.35</v>
      </c>
      <c r="V5">
        <v>-7.66</v>
      </c>
      <c r="Y5">
        <v>0</v>
      </c>
    </row>
    <row r="6" spans="1:28" hidden="1" x14ac:dyDescent="0.2">
      <c r="A6" t="s">
        <v>641</v>
      </c>
      <c r="B6" t="s">
        <v>641</v>
      </c>
      <c r="F6">
        <v>23</v>
      </c>
      <c r="H6">
        <v>1</v>
      </c>
      <c r="I6">
        <v>0</v>
      </c>
      <c r="K6" s="1">
        <v>43316</v>
      </c>
      <c r="L6" t="s">
        <v>39</v>
      </c>
      <c r="M6" t="s">
        <v>593</v>
      </c>
      <c r="N6" s="1">
        <v>44192</v>
      </c>
      <c r="Q6">
        <v>1.1499999999999999</v>
      </c>
      <c r="R6">
        <v>24.82</v>
      </c>
      <c r="S6">
        <v>19.11</v>
      </c>
      <c r="T6">
        <v>29.3</v>
      </c>
      <c r="U6">
        <v>16.440000000000001</v>
      </c>
      <c r="V6">
        <v>17.73</v>
      </c>
      <c r="Y6">
        <v>3.2</v>
      </c>
      <c r="Z6">
        <v>26.08</v>
      </c>
      <c r="AA6">
        <v>7.1</v>
      </c>
      <c r="AB6">
        <v>22.59</v>
      </c>
    </row>
    <row r="7" spans="1:28" hidden="1" x14ac:dyDescent="0.2">
      <c r="A7" t="s">
        <v>45</v>
      </c>
      <c r="B7" t="s">
        <v>46</v>
      </c>
      <c r="F7">
        <v>34</v>
      </c>
      <c r="H7">
        <v>1</v>
      </c>
      <c r="I7">
        <v>0</v>
      </c>
      <c r="K7" s="1">
        <v>43316</v>
      </c>
      <c r="L7" t="s">
        <v>43</v>
      </c>
      <c r="M7" t="s">
        <v>47</v>
      </c>
      <c r="N7" s="1">
        <v>44189</v>
      </c>
      <c r="P7">
        <v>39000</v>
      </c>
      <c r="Q7">
        <v>0.55000000000000004</v>
      </c>
      <c r="R7">
        <v>0.2</v>
      </c>
      <c r="S7">
        <v>16.93</v>
      </c>
      <c r="T7">
        <v>1.58</v>
      </c>
      <c r="U7">
        <v>9.33</v>
      </c>
      <c r="V7">
        <v>9.3000000000000007</v>
      </c>
      <c r="Y7">
        <v>1.1000000000000001</v>
      </c>
      <c r="Z7">
        <v>4.84</v>
      </c>
      <c r="AA7">
        <v>4.13</v>
      </c>
      <c r="AB7">
        <v>13.22</v>
      </c>
    </row>
    <row r="8" spans="1:28" hidden="1" x14ac:dyDescent="0.2">
      <c r="A8" t="s">
        <v>195</v>
      </c>
      <c r="B8" t="s">
        <v>196</v>
      </c>
      <c r="F8">
        <v>25</v>
      </c>
      <c r="H8">
        <v>1</v>
      </c>
      <c r="I8">
        <v>0</v>
      </c>
      <c r="K8" s="1">
        <v>43316</v>
      </c>
      <c r="L8" t="s">
        <v>39</v>
      </c>
      <c r="M8" t="s">
        <v>197</v>
      </c>
      <c r="N8" s="1">
        <v>44189</v>
      </c>
      <c r="P8">
        <v>18100</v>
      </c>
      <c r="Q8">
        <v>0.56999999999999995</v>
      </c>
      <c r="R8">
        <v>19.170000000000002</v>
      </c>
      <c r="S8">
        <v>18.39</v>
      </c>
      <c r="T8">
        <v>17.47</v>
      </c>
      <c r="U8">
        <v>16.64</v>
      </c>
      <c r="V8">
        <v>16.350000000000001</v>
      </c>
      <c r="Y8">
        <v>2.8</v>
      </c>
      <c r="Z8">
        <v>18.77</v>
      </c>
      <c r="AA8">
        <v>8.8800000000000008</v>
      </c>
      <c r="AB8">
        <v>16.5</v>
      </c>
    </row>
    <row r="9" spans="1:28" hidden="1" x14ac:dyDescent="0.2">
      <c r="A9" t="s">
        <v>48</v>
      </c>
      <c r="B9" t="s">
        <v>49</v>
      </c>
      <c r="L9" t="s">
        <v>35</v>
      </c>
      <c r="M9" t="s">
        <v>50</v>
      </c>
      <c r="N9" s="1">
        <v>44189</v>
      </c>
      <c r="P9">
        <v>3811</v>
      </c>
      <c r="Q9">
        <v>8.75</v>
      </c>
      <c r="R9">
        <v>20.170000000000002</v>
      </c>
      <c r="S9">
        <v>17.66</v>
      </c>
      <c r="T9">
        <v>12.69</v>
      </c>
      <c r="U9">
        <v>8.64</v>
      </c>
      <c r="V9">
        <v>1.19</v>
      </c>
      <c r="Y9">
        <v>3.1</v>
      </c>
      <c r="Z9">
        <v>90.27</v>
      </c>
      <c r="AA9">
        <v>18.04</v>
      </c>
      <c r="AB9">
        <v>18.04</v>
      </c>
    </row>
    <row r="10" spans="1:28" hidden="1" x14ac:dyDescent="0.2">
      <c r="A10" t="s">
        <v>51</v>
      </c>
      <c r="B10" t="s">
        <v>52</v>
      </c>
      <c r="F10">
        <v>66</v>
      </c>
      <c r="I10">
        <v>0</v>
      </c>
      <c r="J10" t="s">
        <v>53</v>
      </c>
      <c r="K10" s="1">
        <v>43316</v>
      </c>
      <c r="L10" t="s">
        <v>26</v>
      </c>
      <c r="M10" t="s">
        <v>54</v>
      </c>
      <c r="N10" s="1">
        <v>44189</v>
      </c>
      <c r="O10">
        <v>7381</v>
      </c>
      <c r="P10">
        <v>47000</v>
      </c>
      <c r="Q10">
        <v>4.51</v>
      </c>
      <c r="R10">
        <v>19.670000000000002</v>
      </c>
      <c r="S10">
        <v>5.67</v>
      </c>
      <c r="T10">
        <v>15.56</v>
      </c>
      <c r="U10" t="s">
        <v>32</v>
      </c>
      <c r="V10" t="s">
        <v>32</v>
      </c>
      <c r="X10">
        <v>7246</v>
      </c>
      <c r="Y10">
        <v>0</v>
      </c>
      <c r="Z10">
        <v>18.02</v>
      </c>
      <c r="AA10">
        <v>7.01</v>
      </c>
      <c r="AB10">
        <v>207.95</v>
      </c>
    </row>
    <row r="11" spans="1:28" hidden="1" x14ac:dyDescent="0.2">
      <c r="A11" t="s">
        <v>55</v>
      </c>
      <c r="B11" t="s">
        <v>56</v>
      </c>
      <c r="F11">
        <v>49</v>
      </c>
      <c r="I11">
        <v>0</v>
      </c>
      <c r="K11" s="1">
        <v>43316</v>
      </c>
      <c r="L11" t="s">
        <v>26</v>
      </c>
      <c r="M11" t="s">
        <v>57</v>
      </c>
      <c r="N11" s="1">
        <v>44189</v>
      </c>
      <c r="P11">
        <v>21000</v>
      </c>
      <c r="Q11">
        <v>1.65</v>
      </c>
      <c r="R11">
        <v>15.58</v>
      </c>
      <c r="S11">
        <v>3.35</v>
      </c>
      <c r="T11">
        <v>0.19</v>
      </c>
      <c r="U11">
        <v>12.23</v>
      </c>
      <c r="V11">
        <v>11.9</v>
      </c>
      <c r="Y11">
        <v>3.2</v>
      </c>
      <c r="Z11">
        <v>-1.8</v>
      </c>
      <c r="AA11">
        <v>-8.17</v>
      </c>
      <c r="AB11">
        <v>-366.53</v>
      </c>
    </row>
    <row r="12" spans="1:28" hidden="1" x14ac:dyDescent="0.2">
      <c r="A12" t="s">
        <v>2320</v>
      </c>
      <c r="B12" t="s">
        <v>2321</v>
      </c>
      <c r="F12">
        <v>30</v>
      </c>
      <c r="H12">
        <v>1</v>
      </c>
      <c r="I12">
        <v>0</v>
      </c>
      <c r="K12" s="1">
        <v>43316</v>
      </c>
      <c r="L12" t="s">
        <v>39</v>
      </c>
      <c r="M12" t="s">
        <v>197</v>
      </c>
      <c r="N12" s="1">
        <v>44194</v>
      </c>
      <c r="R12">
        <v>23.07</v>
      </c>
      <c r="S12">
        <v>17.420000000000002</v>
      </c>
      <c r="T12">
        <v>19.87</v>
      </c>
      <c r="U12">
        <v>13.23</v>
      </c>
      <c r="V12">
        <v>10.11</v>
      </c>
      <c r="Y12">
        <v>4.0999999999999996</v>
      </c>
      <c r="Z12">
        <v>7.76</v>
      </c>
      <c r="AA12">
        <v>6.87</v>
      </c>
      <c r="AB12">
        <v>11.89</v>
      </c>
    </row>
    <row r="13" spans="1:28" hidden="1" x14ac:dyDescent="0.2">
      <c r="A13" t="s">
        <v>61</v>
      </c>
      <c r="B13" t="s">
        <v>62</v>
      </c>
      <c r="L13" t="s">
        <v>39</v>
      </c>
      <c r="M13" t="s">
        <v>63</v>
      </c>
      <c r="N13" s="1">
        <v>44189</v>
      </c>
      <c r="P13">
        <v>114000</v>
      </c>
      <c r="Q13">
        <v>1.92</v>
      </c>
      <c r="R13">
        <v>3.18</v>
      </c>
      <c r="S13">
        <v>1.82</v>
      </c>
      <c r="T13">
        <v>7.36</v>
      </c>
      <c r="U13">
        <v>5.34</v>
      </c>
      <c r="V13">
        <v>5.91</v>
      </c>
      <c r="Y13">
        <v>0</v>
      </c>
      <c r="Z13">
        <v>0.01</v>
      </c>
      <c r="AA13">
        <v>0.01</v>
      </c>
      <c r="AB13">
        <v>0.02</v>
      </c>
    </row>
    <row r="14" spans="1:28" hidden="1" x14ac:dyDescent="0.2">
      <c r="A14" t="s">
        <v>931</v>
      </c>
      <c r="B14" t="s">
        <v>931</v>
      </c>
      <c r="F14">
        <v>33</v>
      </c>
      <c r="H14">
        <v>1</v>
      </c>
      <c r="I14">
        <v>0</v>
      </c>
      <c r="K14" s="1">
        <v>43316</v>
      </c>
      <c r="L14" t="s">
        <v>30</v>
      </c>
      <c r="M14" t="s">
        <v>523</v>
      </c>
      <c r="N14" s="1">
        <v>44192</v>
      </c>
      <c r="O14">
        <v>499</v>
      </c>
      <c r="Q14">
        <v>1.52</v>
      </c>
      <c r="R14">
        <v>15.13</v>
      </c>
      <c r="S14">
        <v>10.55</v>
      </c>
      <c r="T14">
        <v>26.28</v>
      </c>
      <c r="U14">
        <v>12.78</v>
      </c>
      <c r="V14">
        <v>16.579999999999998</v>
      </c>
      <c r="X14">
        <v>280</v>
      </c>
      <c r="Y14">
        <v>1.5</v>
      </c>
      <c r="Z14">
        <v>10.61</v>
      </c>
      <c r="AA14">
        <v>5.08</v>
      </c>
      <c r="AB14">
        <v>17.79</v>
      </c>
    </row>
    <row r="15" spans="1:28" hidden="1" x14ac:dyDescent="0.2">
      <c r="A15" t="s">
        <v>1297</v>
      </c>
      <c r="B15" t="s">
        <v>1298</v>
      </c>
      <c r="F15">
        <v>33</v>
      </c>
      <c r="H15">
        <v>1</v>
      </c>
      <c r="I15">
        <v>0</v>
      </c>
      <c r="K15" s="1">
        <v>43316</v>
      </c>
      <c r="L15" t="s">
        <v>39</v>
      </c>
      <c r="M15" t="s">
        <v>593</v>
      </c>
      <c r="N15" s="1">
        <v>44193</v>
      </c>
      <c r="Q15">
        <v>0.86</v>
      </c>
      <c r="R15">
        <v>31.36</v>
      </c>
      <c r="S15">
        <v>23.58</v>
      </c>
      <c r="T15">
        <v>22.9</v>
      </c>
      <c r="U15">
        <v>15.99</v>
      </c>
      <c r="V15">
        <v>15.34</v>
      </c>
      <c r="Y15">
        <v>2.7</v>
      </c>
      <c r="Z15">
        <v>21.67</v>
      </c>
      <c r="AA15">
        <v>5.76</v>
      </c>
      <c r="AB15">
        <v>12.39</v>
      </c>
    </row>
    <row r="16" spans="1:28" hidden="1" x14ac:dyDescent="0.2">
      <c r="A16" t="s">
        <v>69</v>
      </c>
      <c r="B16" t="s">
        <v>70</v>
      </c>
      <c r="F16">
        <v>58</v>
      </c>
      <c r="H16">
        <v>1</v>
      </c>
      <c r="I16">
        <v>0</v>
      </c>
      <c r="K16" s="1">
        <v>43316</v>
      </c>
      <c r="L16" t="s">
        <v>71</v>
      </c>
      <c r="M16" t="s">
        <v>72</v>
      </c>
      <c r="N16" s="1">
        <v>44189</v>
      </c>
      <c r="P16">
        <v>532</v>
      </c>
      <c r="Q16">
        <v>9.23</v>
      </c>
      <c r="R16">
        <v>6.75</v>
      </c>
      <c r="S16">
        <v>26.79</v>
      </c>
      <c r="T16">
        <v>21.63</v>
      </c>
      <c r="U16">
        <v>13.64</v>
      </c>
      <c r="V16">
        <v>0.36</v>
      </c>
      <c r="Y16">
        <v>0</v>
      </c>
      <c r="Z16">
        <v>28.08</v>
      </c>
      <c r="AA16">
        <v>1.69</v>
      </c>
      <c r="AB16">
        <v>10.02</v>
      </c>
    </row>
    <row r="17" spans="1:28" hidden="1" x14ac:dyDescent="0.2">
      <c r="A17" t="s">
        <v>73</v>
      </c>
      <c r="B17" t="s">
        <v>74</v>
      </c>
      <c r="J17" t="s">
        <v>68</v>
      </c>
    </row>
    <row r="18" spans="1:28" hidden="1" x14ac:dyDescent="0.2">
      <c r="A18" t="s">
        <v>75</v>
      </c>
      <c r="B18" t="s">
        <v>76</v>
      </c>
      <c r="F18">
        <v>58</v>
      </c>
      <c r="H18">
        <v>1</v>
      </c>
      <c r="I18">
        <v>0</v>
      </c>
      <c r="K18" s="1">
        <v>43316</v>
      </c>
      <c r="L18" t="s">
        <v>26</v>
      </c>
      <c r="M18" t="s">
        <v>77</v>
      </c>
      <c r="N18" s="1">
        <v>44189</v>
      </c>
      <c r="O18">
        <v>3382</v>
      </c>
      <c r="P18">
        <v>107000</v>
      </c>
      <c r="Q18">
        <v>1.33</v>
      </c>
      <c r="R18">
        <v>24.66</v>
      </c>
      <c r="S18">
        <v>25.04</v>
      </c>
      <c r="T18">
        <v>20.25</v>
      </c>
      <c r="U18">
        <v>12.35</v>
      </c>
      <c r="V18">
        <v>9.5399999999999991</v>
      </c>
      <c r="X18">
        <v>2317</v>
      </c>
      <c r="Y18">
        <v>3.4</v>
      </c>
      <c r="Z18">
        <v>10.5</v>
      </c>
      <c r="AA18">
        <v>4.92</v>
      </c>
      <c r="AB18">
        <v>10.7</v>
      </c>
    </row>
    <row r="19" spans="1:28" hidden="1" x14ac:dyDescent="0.2">
      <c r="A19" t="s">
        <v>716</v>
      </c>
      <c r="B19" t="s">
        <v>717</v>
      </c>
      <c r="L19" t="s">
        <v>26</v>
      </c>
      <c r="M19" t="s">
        <v>718</v>
      </c>
      <c r="N19" s="1">
        <v>44197</v>
      </c>
      <c r="O19">
        <v>-3402</v>
      </c>
      <c r="P19" t="s">
        <v>2403</v>
      </c>
      <c r="Q19" t="s">
        <v>32</v>
      </c>
      <c r="R19">
        <v>-67.94</v>
      </c>
      <c r="S19">
        <v>-55.06</v>
      </c>
      <c r="T19">
        <v>10.55</v>
      </c>
      <c r="U19" t="s">
        <v>32</v>
      </c>
      <c r="V19" t="s">
        <v>32</v>
      </c>
      <c r="X19">
        <v>23</v>
      </c>
      <c r="Y19">
        <v>0</v>
      </c>
      <c r="Z19" t="s">
        <v>2403</v>
      </c>
      <c r="AA19" t="s">
        <v>2403</v>
      </c>
      <c r="AB19" t="s">
        <v>2403</v>
      </c>
    </row>
    <row r="20" spans="1:28" hidden="1" x14ac:dyDescent="0.2">
      <c r="A20" t="s">
        <v>1438</v>
      </c>
      <c r="B20" t="s">
        <v>1439</v>
      </c>
      <c r="L20" t="s">
        <v>95</v>
      </c>
      <c r="M20" t="s">
        <v>558</v>
      </c>
      <c r="N20" s="1">
        <v>44197</v>
      </c>
      <c r="O20">
        <v>61</v>
      </c>
      <c r="P20" t="s">
        <v>2403</v>
      </c>
      <c r="Q20" t="s">
        <v>32</v>
      </c>
      <c r="R20">
        <v>1.44</v>
      </c>
      <c r="S20">
        <v>19.239999999999998</v>
      </c>
      <c r="T20">
        <v>12.42</v>
      </c>
      <c r="U20">
        <v>15.68</v>
      </c>
      <c r="V20">
        <v>9.69</v>
      </c>
      <c r="X20">
        <v>143</v>
      </c>
      <c r="Y20">
        <v>0</v>
      </c>
      <c r="Z20">
        <v>4.67</v>
      </c>
      <c r="AA20">
        <v>1.88</v>
      </c>
      <c r="AB20">
        <v>5.59</v>
      </c>
    </row>
    <row r="21" spans="1:28" hidden="1" x14ac:dyDescent="0.2">
      <c r="A21" t="s">
        <v>746</v>
      </c>
      <c r="B21" t="s">
        <v>747</v>
      </c>
      <c r="F21">
        <v>44</v>
      </c>
      <c r="G21">
        <v>3.2</v>
      </c>
      <c r="K21" s="1">
        <v>43716</v>
      </c>
      <c r="L21" t="s">
        <v>39</v>
      </c>
      <c r="M21" t="s">
        <v>748</v>
      </c>
      <c r="N21" s="1">
        <v>44197</v>
      </c>
      <c r="O21">
        <v>-186</v>
      </c>
      <c r="P21" t="s">
        <v>2403</v>
      </c>
      <c r="Q21" t="s">
        <v>32</v>
      </c>
      <c r="R21">
        <v>15.42</v>
      </c>
      <c r="S21">
        <v>10.25</v>
      </c>
      <c r="T21">
        <v>10.64</v>
      </c>
      <c r="U21">
        <v>5.93</v>
      </c>
      <c r="V21" t="s">
        <v>32</v>
      </c>
      <c r="X21" t="s">
        <v>32</v>
      </c>
      <c r="Y21">
        <v>0.8</v>
      </c>
      <c r="Z21">
        <v>-1.41</v>
      </c>
      <c r="AA21">
        <v>-1.36</v>
      </c>
      <c r="AB21">
        <v>-5.34</v>
      </c>
    </row>
    <row r="22" spans="1:28" hidden="1" x14ac:dyDescent="0.2">
      <c r="A22" t="s">
        <v>1327</v>
      </c>
      <c r="B22" t="s">
        <v>1328</v>
      </c>
      <c r="F22">
        <v>36</v>
      </c>
      <c r="G22">
        <v>3.2</v>
      </c>
      <c r="H22">
        <v>1</v>
      </c>
      <c r="I22">
        <v>0</v>
      </c>
      <c r="J22" t="s">
        <v>80</v>
      </c>
      <c r="K22" s="1">
        <v>43716</v>
      </c>
      <c r="L22" t="s">
        <v>95</v>
      </c>
      <c r="M22" t="s">
        <v>96</v>
      </c>
      <c r="N22" s="1">
        <v>44193</v>
      </c>
      <c r="O22">
        <v>815</v>
      </c>
      <c r="Q22">
        <v>1.33</v>
      </c>
      <c r="R22">
        <v>25.32</v>
      </c>
      <c r="S22">
        <v>17.170000000000002</v>
      </c>
      <c r="T22">
        <v>14.84</v>
      </c>
      <c r="U22">
        <v>18.84</v>
      </c>
      <c r="V22">
        <v>25.5</v>
      </c>
      <c r="X22">
        <v>464</v>
      </c>
      <c r="Y22">
        <v>1.3</v>
      </c>
      <c r="Z22">
        <v>24.28</v>
      </c>
      <c r="AA22">
        <v>16.38</v>
      </c>
      <c r="AB22">
        <v>19.670000000000002</v>
      </c>
    </row>
    <row r="23" spans="1:28" hidden="1" x14ac:dyDescent="0.2">
      <c r="A23" t="s">
        <v>1496</v>
      </c>
      <c r="B23" t="s">
        <v>1497</v>
      </c>
      <c r="F23">
        <v>36</v>
      </c>
      <c r="G23">
        <v>3</v>
      </c>
      <c r="H23">
        <v>1</v>
      </c>
      <c r="I23">
        <v>0</v>
      </c>
      <c r="J23" t="s">
        <v>53</v>
      </c>
      <c r="K23" s="1">
        <v>43716</v>
      </c>
      <c r="L23" t="s">
        <v>43</v>
      </c>
      <c r="M23" t="s">
        <v>47</v>
      </c>
      <c r="N23" s="1">
        <v>44197</v>
      </c>
      <c r="O23">
        <v>110</v>
      </c>
      <c r="P23" t="s">
        <v>2403</v>
      </c>
      <c r="Q23" t="s">
        <v>32</v>
      </c>
      <c r="R23">
        <v>36.85</v>
      </c>
      <c r="S23">
        <v>38.18</v>
      </c>
      <c r="T23">
        <v>40.380000000000003</v>
      </c>
      <c r="U23" t="s">
        <v>32</v>
      </c>
      <c r="V23" t="s">
        <v>32</v>
      </c>
      <c r="X23" t="s">
        <v>32</v>
      </c>
      <c r="Y23">
        <v>1.9</v>
      </c>
      <c r="Z23">
        <v>6.13</v>
      </c>
      <c r="AA23">
        <v>5.48</v>
      </c>
      <c r="AB23">
        <v>15.74</v>
      </c>
    </row>
    <row r="24" spans="1:28" hidden="1" x14ac:dyDescent="0.2">
      <c r="A24" s="2" t="s">
        <v>2212</v>
      </c>
      <c r="B24" t="s">
        <v>2213</v>
      </c>
      <c r="F24">
        <v>70</v>
      </c>
      <c r="G24">
        <v>3.8</v>
      </c>
      <c r="J24" t="s">
        <v>1029</v>
      </c>
      <c r="K24" s="1">
        <v>44138</v>
      </c>
      <c r="N24" s="1">
        <v>44197</v>
      </c>
      <c r="O24">
        <v>-415</v>
      </c>
      <c r="P24" t="s">
        <v>2403</v>
      </c>
      <c r="Q24" t="s">
        <v>32</v>
      </c>
      <c r="R24">
        <v>105.45</v>
      </c>
      <c r="S24">
        <v>32.979999999999997</v>
      </c>
      <c r="T24" t="s">
        <v>32</v>
      </c>
      <c r="U24" t="s">
        <v>32</v>
      </c>
      <c r="V24" t="s">
        <v>32</v>
      </c>
      <c r="X24" t="s">
        <v>32</v>
      </c>
      <c r="Y24">
        <v>0</v>
      </c>
      <c r="Z24" t="s">
        <v>2403</v>
      </c>
      <c r="AA24" t="s">
        <v>2403</v>
      </c>
      <c r="AB24" t="s">
        <v>2403</v>
      </c>
    </row>
    <row r="25" spans="1:28" hidden="1" x14ac:dyDescent="0.2">
      <c r="A25" t="s">
        <v>633</v>
      </c>
      <c r="B25" t="s">
        <v>634</v>
      </c>
      <c r="F25">
        <v>36</v>
      </c>
      <c r="H25">
        <v>1</v>
      </c>
      <c r="I25">
        <v>0</v>
      </c>
      <c r="K25" s="1">
        <v>43316</v>
      </c>
      <c r="L25" t="s">
        <v>39</v>
      </c>
      <c r="M25" t="s">
        <v>197</v>
      </c>
      <c r="N25" s="1">
        <v>44197</v>
      </c>
      <c r="O25">
        <v>171</v>
      </c>
      <c r="P25" t="s">
        <v>2403</v>
      </c>
      <c r="Q25" t="s">
        <v>32</v>
      </c>
      <c r="R25" t="s">
        <v>32</v>
      </c>
      <c r="S25" t="s">
        <v>32</v>
      </c>
      <c r="T25" t="s">
        <v>32</v>
      </c>
      <c r="U25" t="s">
        <v>32</v>
      </c>
      <c r="V25" t="s">
        <v>32</v>
      </c>
      <c r="X25">
        <v>38</v>
      </c>
      <c r="Y25">
        <v>0</v>
      </c>
      <c r="Z25">
        <v>2.89</v>
      </c>
      <c r="AA25">
        <v>3.13</v>
      </c>
      <c r="AB25">
        <v>10.07</v>
      </c>
    </row>
    <row r="26" spans="1:28" hidden="1" x14ac:dyDescent="0.2">
      <c r="A26" t="s">
        <v>97</v>
      </c>
      <c r="B26" t="s">
        <v>98</v>
      </c>
      <c r="F26">
        <v>59</v>
      </c>
      <c r="H26">
        <v>1</v>
      </c>
      <c r="I26">
        <v>0</v>
      </c>
      <c r="K26" s="1">
        <v>43316</v>
      </c>
      <c r="L26" t="s">
        <v>99</v>
      </c>
      <c r="M26" t="s">
        <v>100</v>
      </c>
      <c r="N26" s="1">
        <v>44189</v>
      </c>
      <c r="P26">
        <v>38100</v>
      </c>
      <c r="Q26">
        <v>2.89</v>
      </c>
      <c r="R26">
        <v>10.37</v>
      </c>
      <c r="S26">
        <v>10.029999999999999</v>
      </c>
      <c r="T26">
        <v>8.83</v>
      </c>
      <c r="U26">
        <v>7.14</v>
      </c>
      <c r="V26">
        <v>6.27</v>
      </c>
      <c r="Y26">
        <v>2.1</v>
      </c>
      <c r="Z26">
        <v>2.5299999999999998</v>
      </c>
      <c r="AA26">
        <v>3.67</v>
      </c>
      <c r="AB26">
        <v>8.32</v>
      </c>
    </row>
    <row r="27" spans="1:28" hidden="1" x14ac:dyDescent="0.2">
      <c r="A27" t="s">
        <v>101</v>
      </c>
      <c r="B27" t="s">
        <v>102</v>
      </c>
      <c r="F27">
        <v>57</v>
      </c>
      <c r="H27">
        <v>0</v>
      </c>
      <c r="I27">
        <v>0</v>
      </c>
      <c r="K27" s="1">
        <v>43316</v>
      </c>
      <c r="L27" t="s">
        <v>39</v>
      </c>
      <c r="M27" t="s">
        <v>103</v>
      </c>
      <c r="N27" s="1">
        <v>44189</v>
      </c>
      <c r="P27">
        <v>58000</v>
      </c>
      <c r="Q27">
        <v>2.09</v>
      </c>
      <c r="R27">
        <v>5.19</v>
      </c>
      <c r="S27">
        <v>16.53</v>
      </c>
      <c r="T27">
        <v>17.18</v>
      </c>
      <c r="U27">
        <v>16.260000000000002</v>
      </c>
      <c r="V27">
        <v>10.86</v>
      </c>
      <c r="Y27">
        <v>4.0999999999999996</v>
      </c>
      <c r="Z27">
        <v>17.07</v>
      </c>
      <c r="AA27">
        <v>6.21</v>
      </c>
      <c r="AB27">
        <v>44.52</v>
      </c>
    </row>
    <row r="28" spans="1:28" hidden="1" x14ac:dyDescent="0.2">
      <c r="A28" t="s">
        <v>104</v>
      </c>
      <c r="B28" t="s">
        <v>105</v>
      </c>
      <c r="F28">
        <v>56</v>
      </c>
      <c r="H28">
        <v>1</v>
      </c>
      <c r="I28">
        <v>0</v>
      </c>
      <c r="K28" s="1">
        <v>43316</v>
      </c>
      <c r="L28" t="s">
        <v>35</v>
      </c>
      <c r="M28" t="s">
        <v>106</v>
      </c>
      <c r="N28" s="1">
        <v>44189</v>
      </c>
      <c r="P28">
        <v>8500</v>
      </c>
      <c r="Q28">
        <v>1.72</v>
      </c>
      <c r="R28">
        <v>-34.9</v>
      </c>
      <c r="S28">
        <v>-32.54</v>
      </c>
      <c r="T28">
        <v>-22.08</v>
      </c>
      <c r="U28">
        <v>1.24</v>
      </c>
      <c r="V28">
        <v>5.37</v>
      </c>
      <c r="Y28">
        <v>0.2</v>
      </c>
      <c r="Z28">
        <v>6.12</v>
      </c>
      <c r="AA28">
        <v>1.24</v>
      </c>
      <c r="AB28">
        <v>21.15</v>
      </c>
    </row>
    <row r="29" spans="1:28" hidden="1" x14ac:dyDescent="0.2">
      <c r="A29" t="s">
        <v>547</v>
      </c>
      <c r="B29" t="s">
        <v>548</v>
      </c>
      <c r="F29">
        <v>37</v>
      </c>
      <c r="H29">
        <v>1</v>
      </c>
      <c r="I29">
        <v>0</v>
      </c>
      <c r="K29" s="1">
        <v>43316</v>
      </c>
      <c r="L29" t="s">
        <v>213</v>
      </c>
      <c r="M29" t="s">
        <v>549</v>
      </c>
      <c r="N29" s="1">
        <v>44194</v>
      </c>
      <c r="R29">
        <v>34.78</v>
      </c>
      <c r="S29">
        <v>24.47</v>
      </c>
      <c r="T29">
        <v>26.48</v>
      </c>
      <c r="U29">
        <v>31.44</v>
      </c>
      <c r="V29" t="s">
        <v>32</v>
      </c>
      <c r="Y29">
        <v>0.8</v>
      </c>
      <c r="Z29">
        <v>5.7</v>
      </c>
      <c r="AA29">
        <v>1.86</v>
      </c>
      <c r="AB29">
        <v>8.98</v>
      </c>
    </row>
    <row r="30" spans="1:28" hidden="1" x14ac:dyDescent="0.2">
      <c r="A30" t="s">
        <v>297</v>
      </c>
      <c r="B30" t="s">
        <v>298</v>
      </c>
      <c r="F30">
        <v>38</v>
      </c>
      <c r="H30">
        <v>1</v>
      </c>
      <c r="I30">
        <v>0</v>
      </c>
      <c r="K30" s="1">
        <v>43316</v>
      </c>
      <c r="L30" t="s">
        <v>113</v>
      </c>
      <c r="M30" t="s">
        <v>299</v>
      </c>
      <c r="N30" s="1">
        <v>44189</v>
      </c>
      <c r="P30">
        <v>6800</v>
      </c>
      <c r="Q30">
        <v>1.4</v>
      </c>
      <c r="R30">
        <v>24.4</v>
      </c>
      <c r="S30">
        <v>19.649999999999999</v>
      </c>
      <c r="T30">
        <v>21.45</v>
      </c>
      <c r="U30">
        <v>20.47</v>
      </c>
      <c r="V30" t="s">
        <v>32</v>
      </c>
      <c r="Y30">
        <v>4</v>
      </c>
      <c r="Z30">
        <v>17.63</v>
      </c>
      <c r="AA30">
        <v>2.84</v>
      </c>
      <c r="AB30">
        <v>10.42</v>
      </c>
    </row>
    <row r="31" spans="1:28" hidden="1" x14ac:dyDescent="0.2">
      <c r="A31" t="s">
        <v>111</v>
      </c>
      <c r="B31" t="s">
        <v>112</v>
      </c>
      <c r="F31">
        <v>67</v>
      </c>
      <c r="H31">
        <v>1</v>
      </c>
      <c r="I31">
        <v>0</v>
      </c>
      <c r="K31" s="1">
        <v>43316</v>
      </c>
      <c r="L31" t="s">
        <v>113</v>
      </c>
      <c r="M31" t="s">
        <v>114</v>
      </c>
      <c r="N31" s="1">
        <v>44189</v>
      </c>
      <c r="P31">
        <v>9323</v>
      </c>
      <c r="Q31">
        <v>2.5499999999999998</v>
      </c>
      <c r="R31">
        <v>2.75</v>
      </c>
      <c r="S31">
        <v>11.56</v>
      </c>
      <c r="T31">
        <v>14.15</v>
      </c>
      <c r="U31">
        <v>12.64</v>
      </c>
      <c r="V31">
        <v>4.74</v>
      </c>
      <c r="Y31">
        <v>2.7</v>
      </c>
      <c r="Z31">
        <v>14.7</v>
      </c>
      <c r="AA31">
        <v>2.88</v>
      </c>
      <c r="AB31">
        <v>10.27</v>
      </c>
    </row>
    <row r="32" spans="1:28" hidden="1" x14ac:dyDescent="0.2">
      <c r="A32" t="s">
        <v>115</v>
      </c>
      <c r="B32" t="s">
        <v>116</v>
      </c>
      <c r="F32">
        <v>63</v>
      </c>
      <c r="H32">
        <v>1</v>
      </c>
      <c r="I32">
        <v>0</v>
      </c>
      <c r="J32" t="s">
        <v>68</v>
      </c>
      <c r="K32" s="1">
        <v>43316</v>
      </c>
      <c r="L32" t="s">
        <v>95</v>
      </c>
      <c r="M32" t="s">
        <v>117</v>
      </c>
    </row>
    <row r="33" spans="1:28" hidden="1" x14ac:dyDescent="0.2">
      <c r="A33" t="s">
        <v>118</v>
      </c>
      <c r="B33" t="s">
        <v>119</v>
      </c>
      <c r="N33" s="1">
        <v>44194</v>
      </c>
      <c r="R33">
        <v>131.52000000000001</v>
      </c>
      <c r="S33">
        <v>-49.31</v>
      </c>
      <c r="T33">
        <v>-54.24</v>
      </c>
      <c r="U33">
        <v>-34.909999999999997</v>
      </c>
      <c r="V33">
        <v>-27.97</v>
      </c>
      <c r="Y33">
        <v>0</v>
      </c>
      <c r="Z33">
        <v>-932.51</v>
      </c>
      <c r="AA33">
        <v>-70.8</v>
      </c>
      <c r="AB33">
        <v>-83.52</v>
      </c>
    </row>
    <row r="34" spans="1:28" hidden="1" x14ac:dyDescent="0.2">
      <c r="A34" t="s">
        <v>120</v>
      </c>
      <c r="B34" t="s">
        <v>121</v>
      </c>
      <c r="F34">
        <v>47</v>
      </c>
      <c r="H34">
        <v>0</v>
      </c>
      <c r="I34">
        <v>0</v>
      </c>
      <c r="K34" s="1">
        <v>43316</v>
      </c>
      <c r="L34" t="s">
        <v>43</v>
      </c>
      <c r="M34" t="s">
        <v>88</v>
      </c>
      <c r="N34" s="1">
        <v>44189</v>
      </c>
      <c r="P34">
        <v>8000</v>
      </c>
      <c r="Q34">
        <v>0.76</v>
      </c>
      <c r="R34">
        <v>44.16</v>
      </c>
      <c r="S34">
        <v>4.4000000000000004</v>
      </c>
      <c r="T34">
        <v>7.54</v>
      </c>
      <c r="U34">
        <v>6.18</v>
      </c>
      <c r="V34">
        <v>4.57</v>
      </c>
      <c r="Y34">
        <v>0</v>
      </c>
      <c r="Z34">
        <v>-5.5</v>
      </c>
      <c r="AA34">
        <v>-5.99</v>
      </c>
      <c r="AB34">
        <v>-17.87</v>
      </c>
    </row>
    <row r="35" spans="1:28" hidden="1" x14ac:dyDescent="0.2">
      <c r="A35" t="s">
        <v>122</v>
      </c>
      <c r="B35" t="s">
        <v>123</v>
      </c>
      <c r="F35">
        <v>72</v>
      </c>
      <c r="H35">
        <v>1</v>
      </c>
      <c r="I35">
        <v>0</v>
      </c>
      <c r="K35" s="1">
        <v>43316</v>
      </c>
      <c r="L35" t="s">
        <v>113</v>
      </c>
      <c r="M35" t="s">
        <v>124</v>
      </c>
      <c r="N35" s="1">
        <v>44189</v>
      </c>
      <c r="P35">
        <v>17408</v>
      </c>
      <c r="Q35">
        <v>3.35</v>
      </c>
      <c r="R35">
        <v>-10.88</v>
      </c>
      <c r="S35">
        <v>6.43</v>
      </c>
      <c r="T35">
        <v>9.91</v>
      </c>
      <c r="U35">
        <v>11.14</v>
      </c>
      <c r="V35">
        <v>7.56</v>
      </c>
      <c r="Y35">
        <v>2.7</v>
      </c>
      <c r="Z35">
        <v>12.85</v>
      </c>
      <c r="AA35">
        <v>2.5099999999999998</v>
      </c>
      <c r="AB35">
        <v>9.57</v>
      </c>
    </row>
    <row r="36" spans="1:28" hidden="1" x14ac:dyDescent="0.2">
      <c r="A36" t="s">
        <v>125</v>
      </c>
      <c r="B36" t="s">
        <v>125</v>
      </c>
      <c r="F36">
        <v>50</v>
      </c>
      <c r="H36">
        <v>1</v>
      </c>
      <c r="I36">
        <v>0</v>
      </c>
      <c r="K36" s="1">
        <v>43316</v>
      </c>
      <c r="L36" t="s">
        <v>113</v>
      </c>
      <c r="M36" t="s">
        <v>126</v>
      </c>
      <c r="N36" s="1">
        <v>44189</v>
      </c>
      <c r="P36">
        <v>8000</v>
      </c>
      <c r="Q36">
        <v>2.8</v>
      </c>
      <c r="R36">
        <v>21.41</v>
      </c>
      <c r="S36">
        <v>32.880000000000003</v>
      </c>
      <c r="T36">
        <v>22.25</v>
      </c>
      <c r="U36">
        <v>8.18</v>
      </c>
      <c r="V36">
        <v>3.52</v>
      </c>
      <c r="Y36">
        <v>2.2000000000000002</v>
      </c>
      <c r="Z36">
        <v>-3.67</v>
      </c>
      <c r="AA36">
        <v>-1.03</v>
      </c>
      <c r="AB36">
        <v>-13.61</v>
      </c>
    </row>
    <row r="37" spans="1:28" hidden="1" x14ac:dyDescent="0.2">
      <c r="A37" t="s">
        <v>127</v>
      </c>
      <c r="B37" t="s">
        <v>128</v>
      </c>
      <c r="F37">
        <v>74</v>
      </c>
      <c r="G37">
        <v>3.5</v>
      </c>
      <c r="K37" s="1">
        <v>43716</v>
      </c>
      <c r="L37" t="s">
        <v>35</v>
      </c>
      <c r="M37" t="s">
        <v>129</v>
      </c>
      <c r="N37" s="1">
        <v>44189</v>
      </c>
      <c r="P37">
        <v>7700</v>
      </c>
      <c r="Q37">
        <v>2.0699999999999998</v>
      </c>
      <c r="R37">
        <v>-17.47</v>
      </c>
      <c r="S37">
        <v>-2.74</v>
      </c>
      <c r="T37">
        <v>8.2899999999999991</v>
      </c>
      <c r="U37">
        <v>13.38</v>
      </c>
      <c r="V37">
        <v>10.64</v>
      </c>
      <c r="Y37">
        <v>0</v>
      </c>
      <c r="Z37">
        <v>3.38</v>
      </c>
      <c r="AA37">
        <v>0.35</v>
      </c>
      <c r="AB37">
        <v>3.96</v>
      </c>
    </row>
    <row r="38" spans="1:28" hidden="1" x14ac:dyDescent="0.2">
      <c r="A38" t="s">
        <v>130</v>
      </c>
      <c r="B38" t="s">
        <v>131</v>
      </c>
      <c r="F38">
        <v>50</v>
      </c>
      <c r="H38">
        <v>1</v>
      </c>
      <c r="I38">
        <v>0</v>
      </c>
      <c r="K38" s="1">
        <v>43316</v>
      </c>
      <c r="L38" t="s">
        <v>35</v>
      </c>
      <c r="M38" t="s">
        <v>132</v>
      </c>
      <c r="N38" s="1">
        <v>44189</v>
      </c>
      <c r="P38">
        <v>11729</v>
      </c>
      <c r="Q38">
        <v>2.5499999999999998</v>
      </c>
      <c r="R38">
        <v>-15.02</v>
      </c>
      <c r="S38">
        <v>2.36</v>
      </c>
      <c r="T38">
        <v>9.9499999999999993</v>
      </c>
      <c r="U38">
        <v>6.18</v>
      </c>
      <c r="V38">
        <v>5.76</v>
      </c>
      <c r="Y38">
        <v>0</v>
      </c>
      <c r="Z38">
        <v>21.25</v>
      </c>
      <c r="AA38">
        <v>2.92</v>
      </c>
      <c r="AB38">
        <v>14.88</v>
      </c>
    </row>
    <row r="39" spans="1:28" hidden="1" x14ac:dyDescent="0.2">
      <c r="A39" t="s">
        <v>133</v>
      </c>
      <c r="B39" t="s">
        <v>133</v>
      </c>
      <c r="F39">
        <v>56</v>
      </c>
      <c r="G39">
        <v>3.7</v>
      </c>
      <c r="H39">
        <v>1</v>
      </c>
      <c r="I39">
        <v>0</v>
      </c>
      <c r="J39" t="s">
        <v>53</v>
      </c>
      <c r="K39" s="1">
        <v>43716</v>
      </c>
      <c r="L39" t="s">
        <v>39</v>
      </c>
      <c r="M39" t="s">
        <v>134</v>
      </c>
      <c r="N39" s="1">
        <v>44189</v>
      </c>
      <c r="P39">
        <v>20961</v>
      </c>
      <c r="Q39">
        <v>0.69</v>
      </c>
      <c r="R39">
        <v>34.1</v>
      </c>
      <c r="S39">
        <v>13.1</v>
      </c>
      <c r="T39">
        <v>18.28</v>
      </c>
      <c r="U39">
        <v>7.88</v>
      </c>
      <c r="V39">
        <v>13.2</v>
      </c>
      <c r="Y39">
        <v>1.6</v>
      </c>
      <c r="Z39">
        <v>2.27</v>
      </c>
      <c r="AA39">
        <v>2.54</v>
      </c>
      <c r="AB39">
        <v>7.03</v>
      </c>
    </row>
    <row r="40" spans="1:28" hidden="1" x14ac:dyDescent="0.2">
      <c r="A40" t="s">
        <v>707</v>
      </c>
      <c r="B40" t="s">
        <v>708</v>
      </c>
      <c r="F40">
        <v>38</v>
      </c>
      <c r="H40">
        <v>1</v>
      </c>
      <c r="I40">
        <v>0</v>
      </c>
      <c r="K40" s="1">
        <v>43316</v>
      </c>
      <c r="L40" t="s">
        <v>99</v>
      </c>
      <c r="M40" t="s">
        <v>621</v>
      </c>
      <c r="N40" s="1">
        <v>44192</v>
      </c>
      <c r="Q40">
        <v>0.64</v>
      </c>
      <c r="R40">
        <v>36.119999999999997</v>
      </c>
      <c r="S40">
        <v>32.28</v>
      </c>
      <c r="T40">
        <v>24.59</v>
      </c>
      <c r="U40">
        <v>21.6</v>
      </c>
      <c r="V40" t="s">
        <v>32</v>
      </c>
      <c r="Y40">
        <v>1.6</v>
      </c>
      <c r="Z40">
        <v>7.84</v>
      </c>
      <c r="AA40">
        <v>10.49</v>
      </c>
      <c r="AB40">
        <v>37.369999999999997</v>
      </c>
    </row>
    <row r="41" spans="1:28" hidden="1" x14ac:dyDescent="0.2">
      <c r="A41" t="s">
        <v>138</v>
      </c>
      <c r="B41" t="s">
        <v>139</v>
      </c>
      <c r="N41" s="1">
        <v>44189</v>
      </c>
      <c r="P41">
        <v>51</v>
      </c>
      <c r="Q41">
        <v>10.47</v>
      </c>
      <c r="R41">
        <v>-2.54</v>
      </c>
      <c r="S41">
        <v>1.99</v>
      </c>
      <c r="T41">
        <v>7.75</v>
      </c>
      <c r="U41">
        <v>4.54</v>
      </c>
      <c r="V41" t="s">
        <v>32</v>
      </c>
      <c r="Y41">
        <v>0</v>
      </c>
    </row>
    <row r="42" spans="1:28" hidden="1" x14ac:dyDescent="0.2">
      <c r="A42" t="s">
        <v>140</v>
      </c>
      <c r="B42" t="s">
        <v>141</v>
      </c>
      <c r="N42" s="1">
        <v>44194</v>
      </c>
      <c r="R42">
        <v>406.36</v>
      </c>
      <c r="S42">
        <v>38.64</v>
      </c>
      <c r="T42">
        <v>20.64</v>
      </c>
      <c r="U42">
        <v>-2.8</v>
      </c>
      <c r="V42">
        <v>-4.62</v>
      </c>
      <c r="Y42">
        <v>0</v>
      </c>
      <c r="Z42">
        <v>-7.49</v>
      </c>
      <c r="AA42">
        <v>-14.52</v>
      </c>
      <c r="AB42">
        <v>-25.53</v>
      </c>
    </row>
    <row r="43" spans="1:28" hidden="1" x14ac:dyDescent="0.2">
      <c r="A43" t="s">
        <v>142</v>
      </c>
      <c r="B43" t="s">
        <v>143</v>
      </c>
      <c r="F43">
        <v>37</v>
      </c>
      <c r="H43">
        <v>1</v>
      </c>
      <c r="I43">
        <v>0</v>
      </c>
      <c r="K43" s="1">
        <v>43316</v>
      </c>
      <c r="L43" t="s">
        <v>35</v>
      </c>
      <c r="M43" t="s">
        <v>144</v>
      </c>
      <c r="N43" s="1">
        <v>44189</v>
      </c>
      <c r="P43">
        <v>46000</v>
      </c>
      <c r="Q43">
        <v>3.33</v>
      </c>
      <c r="R43">
        <v>-24.03</v>
      </c>
      <c r="S43">
        <v>-11.38</v>
      </c>
      <c r="T43">
        <v>-6.52</v>
      </c>
      <c r="U43">
        <v>-0.21</v>
      </c>
      <c r="V43">
        <v>-16.399999999999999</v>
      </c>
      <c r="Y43">
        <v>0.4</v>
      </c>
      <c r="Z43">
        <v>-10.79</v>
      </c>
      <c r="AA43">
        <v>-0.91</v>
      </c>
      <c r="AB43">
        <v>-7.75</v>
      </c>
    </row>
    <row r="44" spans="1:28" hidden="1" x14ac:dyDescent="0.2">
      <c r="A44" t="s">
        <v>145</v>
      </c>
      <c r="B44" t="s">
        <v>146</v>
      </c>
      <c r="F44">
        <v>61</v>
      </c>
      <c r="H44">
        <v>1</v>
      </c>
      <c r="I44">
        <v>0</v>
      </c>
      <c r="K44" s="1">
        <v>43316</v>
      </c>
      <c r="L44" t="s">
        <v>39</v>
      </c>
      <c r="M44" t="s">
        <v>60</v>
      </c>
      <c r="N44" s="1">
        <v>44189</v>
      </c>
      <c r="P44">
        <v>4200</v>
      </c>
      <c r="Q44">
        <v>0.53</v>
      </c>
      <c r="R44">
        <v>-24.74</v>
      </c>
      <c r="S44">
        <v>-2.99</v>
      </c>
      <c r="T44">
        <v>7.18</v>
      </c>
      <c r="U44">
        <v>3.28</v>
      </c>
      <c r="V44">
        <v>3.38</v>
      </c>
      <c r="Y44">
        <v>5.2</v>
      </c>
      <c r="Z44">
        <v>-1.1499999999999999</v>
      </c>
      <c r="AA44">
        <v>-1.19</v>
      </c>
      <c r="AB44">
        <v>-2.2400000000000002</v>
      </c>
    </row>
    <row r="45" spans="1:28" hidden="1" x14ac:dyDescent="0.2">
      <c r="A45" t="s">
        <v>147</v>
      </c>
      <c r="B45" t="s">
        <v>148</v>
      </c>
      <c r="F45">
        <v>51</v>
      </c>
      <c r="H45">
        <v>1</v>
      </c>
      <c r="I45">
        <v>0</v>
      </c>
      <c r="K45" s="1">
        <v>43316</v>
      </c>
      <c r="L45" t="s">
        <v>71</v>
      </c>
      <c r="M45" t="s">
        <v>149</v>
      </c>
      <c r="N45" s="1">
        <v>44189</v>
      </c>
      <c r="P45">
        <v>950</v>
      </c>
      <c r="Q45">
        <v>6.75</v>
      </c>
      <c r="R45">
        <v>-16.36</v>
      </c>
      <c r="S45">
        <v>2.12</v>
      </c>
      <c r="T45">
        <v>4.2</v>
      </c>
      <c r="U45">
        <v>7.62</v>
      </c>
      <c r="V45">
        <v>3.78</v>
      </c>
      <c r="Y45">
        <v>0</v>
      </c>
      <c r="Z45">
        <v>17.350000000000001</v>
      </c>
      <c r="AA45">
        <v>2.27</v>
      </c>
      <c r="AB45">
        <v>8.06</v>
      </c>
    </row>
    <row r="46" spans="1:28" hidden="1" x14ac:dyDescent="0.2">
      <c r="A46" t="s">
        <v>150</v>
      </c>
      <c r="B46" t="s">
        <v>151</v>
      </c>
      <c r="F46">
        <v>38</v>
      </c>
      <c r="H46">
        <v>1</v>
      </c>
      <c r="I46">
        <v>0</v>
      </c>
      <c r="K46" s="1">
        <v>43316</v>
      </c>
      <c r="L46" t="s">
        <v>35</v>
      </c>
      <c r="M46" t="s">
        <v>152</v>
      </c>
      <c r="N46" s="1">
        <v>44189</v>
      </c>
      <c r="P46">
        <v>13600</v>
      </c>
      <c r="Q46">
        <v>1.97</v>
      </c>
      <c r="R46">
        <v>5.51</v>
      </c>
      <c r="S46">
        <v>11.41</v>
      </c>
      <c r="T46">
        <v>12.19</v>
      </c>
      <c r="U46">
        <v>14.56</v>
      </c>
      <c r="V46">
        <v>8.7200000000000006</v>
      </c>
      <c r="Y46">
        <v>0</v>
      </c>
      <c r="Z46">
        <v>4.0599999999999996</v>
      </c>
      <c r="AA46">
        <v>0.94</v>
      </c>
      <c r="AB46">
        <v>7.1</v>
      </c>
    </row>
    <row r="47" spans="1:28" hidden="1" x14ac:dyDescent="0.2">
      <c r="A47" s="2" t="s">
        <v>826</v>
      </c>
      <c r="B47" t="s">
        <v>827</v>
      </c>
      <c r="F47">
        <v>38</v>
      </c>
      <c r="H47">
        <v>1</v>
      </c>
      <c r="I47">
        <v>0</v>
      </c>
      <c r="K47" s="1">
        <v>43316</v>
      </c>
      <c r="L47" t="s">
        <v>26</v>
      </c>
      <c r="M47" t="s">
        <v>238</v>
      </c>
      <c r="N47" s="1">
        <v>44197</v>
      </c>
      <c r="O47">
        <v>-334</v>
      </c>
      <c r="P47" t="s">
        <v>2403</v>
      </c>
      <c r="Q47" t="s">
        <v>32</v>
      </c>
      <c r="R47">
        <v>43.26</v>
      </c>
      <c r="S47">
        <v>36.11</v>
      </c>
      <c r="T47">
        <v>70.37</v>
      </c>
      <c r="U47">
        <v>36.32</v>
      </c>
      <c r="V47">
        <v>31.38</v>
      </c>
      <c r="X47">
        <v>151</v>
      </c>
      <c r="Y47">
        <v>0</v>
      </c>
      <c r="Z47">
        <v>-25.27</v>
      </c>
      <c r="AA47">
        <v>-10.92</v>
      </c>
      <c r="AB47">
        <v>-21.63</v>
      </c>
    </row>
    <row r="48" spans="1:28" hidden="1" x14ac:dyDescent="0.2">
      <c r="A48" t="s">
        <v>1352</v>
      </c>
      <c r="B48" t="s">
        <v>1353</v>
      </c>
      <c r="F48">
        <v>51</v>
      </c>
      <c r="I48">
        <v>0</v>
      </c>
      <c r="K48" s="1">
        <v>43316</v>
      </c>
      <c r="L48" t="s">
        <v>95</v>
      </c>
      <c r="M48" t="s">
        <v>542</v>
      </c>
      <c r="N48" s="1">
        <v>44197</v>
      </c>
      <c r="O48">
        <v>563</v>
      </c>
      <c r="P48" t="s">
        <v>2403</v>
      </c>
      <c r="Q48" t="s">
        <v>32</v>
      </c>
      <c r="R48">
        <v>21.54</v>
      </c>
      <c r="S48">
        <v>17.309999999999999</v>
      </c>
      <c r="T48">
        <v>14.81</v>
      </c>
      <c r="U48">
        <v>8.36</v>
      </c>
      <c r="V48">
        <v>11.71</v>
      </c>
      <c r="X48">
        <v>271</v>
      </c>
      <c r="Y48">
        <v>1.6</v>
      </c>
      <c r="Z48">
        <v>18.010000000000002</v>
      </c>
      <c r="AA48">
        <v>8.11</v>
      </c>
      <c r="AB48">
        <v>14.79</v>
      </c>
    </row>
    <row r="49" spans="1:28" hidden="1" x14ac:dyDescent="0.2">
      <c r="A49" t="s">
        <v>1088</v>
      </c>
      <c r="B49" t="s">
        <v>1089</v>
      </c>
      <c r="F49">
        <v>39</v>
      </c>
      <c r="H49">
        <v>1</v>
      </c>
      <c r="I49">
        <v>0</v>
      </c>
      <c r="K49" s="1">
        <v>43316</v>
      </c>
      <c r="L49" t="s">
        <v>39</v>
      </c>
      <c r="M49" t="s">
        <v>197</v>
      </c>
      <c r="N49" s="1">
        <v>44193</v>
      </c>
      <c r="Q49">
        <v>1.78</v>
      </c>
      <c r="R49">
        <v>20.9</v>
      </c>
      <c r="S49">
        <v>13.52</v>
      </c>
      <c r="T49">
        <v>17.09</v>
      </c>
      <c r="U49">
        <v>16.16</v>
      </c>
      <c r="V49">
        <v>13.22</v>
      </c>
      <c r="Y49">
        <v>3</v>
      </c>
      <c r="Z49">
        <v>14.99</v>
      </c>
      <c r="AA49">
        <v>8.06</v>
      </c>
      <c r="AB49">
        <v>27.54</v>
      </c>
    </row>
    <row r="50" spans="1:28" hidden="1" x14ac:dyDescent="0.2">
      <c r="A50" t="s">
        <v>162</v>
      </c>
      <c r="B50" t="s">
        <v>163</v>
      </c>
      <c r="F50">
        <v>66</v>
      </c>
      <c r="H50">
        <v>1</v>
      </c>
      <c r="I50">
        <v>0</v>
      </c>
      <c r="K50" s="1">
        <v>43316</v>
      </c>
      <c r="L50" t="s">
        <v>30</v>
      </c>
      <c r="M50" t="s">
        <v>164</v>
      </c>
      <c r="N50" s="1">
        <v>44189</v>
      </c>
      <c r="O50">
        <v>382</v>
      </c>
      <c r="P50">
        <v>6000</v>
      </c>
      <c r="Q50">
        <v>1.1200000000000001</v>
      </c>
      <c r="R50">
        <v>109.1</v>
      </c>
      <c r="S50">
        <v>6.06</v>
      </c>
      <c r="T50">
        <v>22.73</v>
      </c>
      <c r="U50">
        <v>11.14</v>
      </c>
      <c r="V50">
        <v>15.27</v>
      </c>
      <c r="X50">
        <v>58</v>
      </c>
      <c r="Y50">
        <v>3</v>
      </c>
      <c r="Z50">
        <v>11.77</v>
      </c>
      <c r="AA50">
        <v>4.1500000000000004</v>
      </c>
      <c r="AB50">
        <v>9.58</v>
      </c>
    </row>
    <row r="51" spans="1:28" hidden="1" x14ac:dyDescent="0.2">
      <c r="A51" t="s">
        <v>165</v>
      </c>
      <c r="B51" t="s">
        <v>166</v>
      </c>
      <c r="L51" t="s">
        <v>113</v>
      </c>
      <c r="M51" t="s">
        <v>126</v>
      </c>
      <c r="N51" s="1">
        <v>44189</v>
      </c>
      <c r="P51">
        <v>1322</v>
      </c>
      <c r="Q51">
        <v>4.3899999999999997</v>
      </c>
      <c r="R51">
        <v>-22.68</v>
      </c>
      <c r="S51">
        <v>-3.1</v>
      </c>
      <c r="T51">
        <v>6.71</v>
      </c>
      <c r="U51">
        <v>7.99</v>
      </c>
      <c r="V51">
        <v>4.5999999999999996</v>
      </c>
      <c r="Y51">
        <v>0</v>
      </c>
      <c r="Z51">
        <v>15.33</v>
      </c>
      <c r="AA51">
        <v>3.17</v>
      </c>
      <c r="AB51">
        <v>7.88</v>
      </c>
    </row>
    <row r="52" spans="1:28" hidden="1" x14ac:dyDescent="0.2">
      <c r="A52" s="2" t="s">
        <v>757</v>
      </c>
      <c r="B52" t="s">
        <v>758</v>
      </c>
      <c r="F52">
        <v>40</v>
      </c>
      <c r="H52">
        <v>1</v>
      </c>
      <c r="I52">
        <v>0</v>
      </c>
      <c r="K52" s="1">
        <v>43316</v>
      </c>
      <c r="L52" t="s">
        <v>26</v>
      </c>
      <c r="M52" t="s">
        <v>759</v>
      </c>
      <c r="N52" s="1">
        <v>44194</v>
      </c>
      <c r="R52">
        <v>54.45</v>
      </c>
      <c r="S52">
        <v>16.850000000000001</v>
      </c>
      <c r="T52">
        <v>10.46</v>
      </c>
      <c r="U52">
        <v>12.76</v>
      </c>
      <c r="V52">
        <v>10.66</v>
      </c>
      <c r="Y52">
        <v>0.9</v>
      </c>
      <c r="Z52">
        <v>7.32</v>
      </c>
      <c r="AA52">
        <v>4.9000000000000004</v>
      </c>
      <c r="AB52">
        <v>43.39</v>
      </c>
    </row>
    <row r="53" spans="1:28" hidden="1" x14ac:dyDescent="0.2">
      <c r="A53" t="s">
        <v>170</v>
      </c>
      <c r="B53" t="s">
        <v>171</v>
      </c>
      <c r="F53">
        <v>70</v>
      </c>
      <c r="H53">
        <v>0</v>
      </c>
      <c r="I53">
        <v>0</v>
      </c>
      <c r="K53" s="1">
        <v>43316</v>
      </c>
      <c r="L53" t="s">
        <v>39</v>
      </c>
      <c r="M53" t="s">
        <v>40</v>
      </c>
      <c r="N53" s="1">
        <v>44189</v>
      </c>
      <c r="P53">
        <v>18112</v>
      </c>
      <c r="Q53">
        <v>1.42</v>
      </c>
      <c r="R53">
        <v>-24.64</v>
      </c>
      <c r="S53">
        <v>-9.59</v>
      </c>
      <c r="T53">
        <v>-6.99</v>
      </c>
      <c r="U53">
        <v>15.13</v>
      </c>
      <c r="V53">
        <v>13.46</v>
      </c>
      <c r="Y53">
        <v>0</v>
      </c>
      <c r="Z53">
        <v>-13.96</v>
      </c>
      <c r="AA53">
        <v>-5.0199999999999996</v>
      </c>
      <c r="AB53">
        <v>-18.059999999999999</v>
      </c>
    </row>
    <row r="54" spans="1:28" hidden="1" x14ac:dyDescent="0.2">
      <c r="A54" t="s">
        <v>172</v>
      </c>
      <c r="B54" t="s">
        <v>173</v>
      </c>
      <c r="N54" s="1">
        <v>44194</v>
      </c>
      <c r="R54">
        <v>4.01</v>
      </c>
      <c r="S54">
        <v>-27.34</v>
      </c>
      <c r="T54">
        <v>-23.32</v>
      </c>
      <c r="U54">
        <v>5.42</v>
      </c>
      <c r="V54">
        <v>1.19</v>
      </c>
      <c r="Y54">
        <v>0</v>
      </c>
      <c r="Z54">
        <v>-6.28</v>
      </c>
      <c r="AA54">
        <v>-4.05</v>
      </c>
      <c r="AB54">
        <v>-6.84</v>
      </c>
    </row>
    <row r="55" spans="1:28" hidden="1" x14ac:dyDescent="0.2">
      <c r="A55" t="s">
        <v>174</v>
      </c>
      <c r="B55" t="s">
        <v>175</v>
      </c>
      <c r="F55">
        <v>55</v>
      </c>
      <c r="H55">
        <v>1</v>
      </c>
      <c r="I55">
        <v>0</v>
      </c>
      <c r="K55" s="1">
        <v>43316</v>
      </c>
      <c r="L55" t="s">
        <v>35</v>
      </c>
      <c r="M55" t="s">
        <v>129</v>
      </c>
      <c r="N55" s="1">
        <v>44189</v>
      </c>
      <c r="P55">
        <v>45780</v>
      </c>
      <c r="Q55">
        <v>2.11</v>
      </c>
      <c r="R55">
        <v>-2.46</v>
      </c>
      <c r="S55">
        <v>2.46</v>
      </c>
      <c r="T55">
        <v>12.79</v>
      </c>
      <c r="U55">
        <v>14.14</v>
      </c>
      <c r="V55">
        <v>5.71</v>
      </c>
      <c r="Y55">
        <v>1.8</v>
      </c>
      <c r="Z55">
        <v>10.33</v>
      </c>
      <c r="AA55">
        <v>3.75</v>
      </c>
      <c r="AB55">
        <v>18.89</v>
      </c>
    </row>
    <row r="56" spans="1:28" hidden="1" x14ac:dyDescent="0.2">
      <c r="A56" t="s">
        <v>176</v>
      </c>
      <c r="B56" t="s">
        <v>177</v>
      </c>
      <c r="F56">
        <v>49</v>
      </c>
      <c r="H56">
        <v>1</v>
      </c>
      <c r="I56">
        <v>0</v>
      </c>
      <c r="K56" s="1">
        <v>43316</v>
      </c>
      <c r="L56" t="s">
        <v>39</v>
      </c>
      <c r="M56" t="s">
        <v>178</v>
      </c>
      <c r="N56" s="1">
        <v>44189</v>
      </c>
      <c r="P56">
        <v>11000</v>
      </c>
      <c r="Q56">
        <v>1.08</v>
      </c>
      <c r="R56">
        <v>-7.6</v>
      </c>
      <c r="S56">
        <v>13.01</v>
      </c>
      <c r="T56">
        <v>12.21</v>
      </c>
      <c r="U56" t="s">
        <v>32</v>
      </c>
      <c r="V56" t="s">
        <v>32</v>
      </c>
      <c r="Y56">
        <v>3.5</v>
      </c>
      <c r="Z56">
        <v>11.12</v>
      </c>
      <c r="AA56">
        <v>10.24</v>
      </c>
      <c r="AB56">
        <v>39.979999999999997</v>
      </c>
    </row>
    <row r="57" spans="1:28" hidden="1" x14ac:dyDescent="0.2">
      <c r="A57" t="s">
        <v>179</v>
      </c>
      <c r="B57" t="s">
        <v>180</v>
      </c>
      <c r="F57">
        <v>54</v>
      </c>
      <c r="G57">
        <v>3.4</v>
      </c>
      <c r="J57" t="s">
        <v>68</v>
      </c>
      <c r="K57" s="1">
        <v>43716</v>
      </c>
      <c r="L57" t="s">
        <v>35</v>
      </c>
      <c r="M57" t="s">
        <v>106</v>
      </c>
      <c r="N57" s="1">
        <v>44189</v>
      </c>
      <c r="P57">
        <v>8700</v>
      </c>
      <c r="Q57">
        <v>2.56</v>
      </c>
      <c r="R57">
        <v>15.71</v>
      </c>
      <c r="S57">
        <v>8.0299999999999994</v>
      </c>
      <c r="T57">
        <v>14.25</v>
      </c>
      <c r="U57" t="s">
        <v>32</v>
      </c>
      <c r="V57" t="s">
        <v>32</v>
      </c>
      <c r="Y57">
        <v>0</v>
      </c>
      <c r="Z57">
        <v>11.98</v>
      </c>
      <c r="AA57">
        <v>0.42</v>
      </c>
      <c r="AB57">
        <v>5.43</v>
      </c>
    </row>
    <row r="58" spans="1:28" hidden="1" x14ac:dyDescent="0.2">
      <c r="A58" t="s">
        <v>181</v>
      </c>
      <c r="B58" t="s">
        <v>182</v>
      </c>
      <c r="F58">
        <v>56</v>
      </c>
      <c r="G58">
        <v>3.7</v>
      </c>
      <c r="K58" s="1">
        <v>43716</v>
      </c>
      <c r="L58" t="s">
        <v>43</v>
      </c>
      <c r="M58" t="s">
        <v>169</v>
      </c>
      <c r="N58" s="1">
        <v>44189</v>
      </c>
      <c r="O58">
        <v>154</v>
      </c>
      <c r="P58">
        <v>59423</v>
      </c>
      <c r="Q58">
        <v>1.39</v>
      </c>
      <c r="R58">
        <v>9.5500000000000007</v>
      </c>
      <c r="S58">
        <v>3.16</v>
      </c>
      <c r="T58">
        <v>2.65</v>
      </c>
      <c r="U58">
        <v>6.63</v>
      </c>
      <c r="V58">
        <v>8.8000000000000007</v>
      </c>
      <c r="X58">
        <v>374</v>
      </c>
      <c r="Y58">
        <v>1.1000000000000001</v>
      </c>
      <c r="Z58">
        <v>2.16</v>
      </c>
      <c r="AA58">
        <v>2.14</v>
      </c>
      <c r="AB58">
        <v>7.54</v>
      </c>
    </row>
    <row r="59" spans="1:28" hidden="1" x14ac:dyDescent="0.2">
      <c r="A59" t="s">
        <v>273</v>
      </c>
      <c r="B59" t="s">
        <v>274</v>
      </c>
      <c r="F59">
        <v>33</v>
      </c>
      <c r="H59">
        <v>1</v>
      </c>
      <c r="I59">
        <v>0</v>
      </c>
      <c r="K59" s="1">
        <v>43316</v>
      </c>
      <c r="L59" t="s">
        <v>26</v>
      </c>
      <c r="M59" t="s">
        <v>275</v>
      </c>
      <c r="N59" s="1">
        <v>44197</v>
      </c>
      <c r="O59">
        <v>957</v>
      </c>
      <c r="P59" t="s">
        <v>2403</v>
      </c>
      <c r="Q59" t="s">
        <v>32</v>
      </c>
      <c r="R59">
        <v>44.47</v>
      </c>
      <c r="S59">
        <v>9.32</v>
      </c>
      <c r="T59">
        <v>-3.91</v>
      </c>
      <c r="U59">
        <v>14.52</v>
      </c>
      <c r="V59">
        <v>25.69</v>
      </c>
      <c r="X59">
        <v>978</v>
      </c>
      <c r="Y59">
        <v>1</v>
      </c>
      <c r="Z59">
        <v>16.32</v>
      </c>
      <c r="AA59">
        <v>5.91</v>
      </c>
      <c r="AB59">
        <v>8.92</v>
      </c>
    </row>
    <row r="60" spans="1:28" hidden="1" x14ac:dyDescent="0.2">
      <c r="A60" t="s">
        <v>185</v>
      </c>
      <c r="B60" t="s">
        <v>186</v>
      </c>
      <c r="F60">
        <v>78</v>
      </c>
      <c r="H60">
        <v>1</v>
      </c>
      <c r="I60">
        <v>0</v>
      </c>
      <c r="J60" t="s">
        <v>68</v>
      </c>
      <c r="K60" s="1">
        <v>43316</v>
      </c>
      <c r="L60" t="s">
        <v>95</v>
      </c>
      <c r="M60" t="s">
        <v>187</v>
      </c>
      <c r="N60" s="1">
        <v>44189</v>
      </c>
      <c r="O60">
        <v>3619</v>
      </c>
      <c r="P60">
        <v>24000</v>
      </c>
      <c r="Q60">
        <v>1.05</v>
      </c>
      <c r="R60">
        <v>39</v>
      </c>
      <c r="S60">
        <v>18.41</v>
      </c>
      <c r="T60">
        <v>35.51</v>
      </c>
      <c r="U60">
        <v>20.329999999999998</v>
      </c>
      <c r="V60">
        <v>11.18</v>
      </c>
      <c r="X60">
        <v>2234</v>
      </c>
      <c r="Y60">
        <v>2</v>
      </c>
      <c r="Z60">
        <v>21.04</v>
      </c>
      <c r="AA60">
        <v>17.489999999999998</v>
      </c>
      <c r="AB60">
        <v>38.520000000000003</v>
      </c>
    </row>
    <row r="61" spans="1:28" hidden="1" x14ac:dyDescent="0.2">
      <c r="A61" t="s">
        <v>188</v>
      </c>
      <c r="B61" t="s">
        <v>189</v>
      </c>
      <c r="J61" t="s">
        <v>68</v>
      </c>
      <c r="L61" t="s">
        <v>95</v>
      </c>
      <c r="M61" t="s">
        <v>187</v>
      </c>
      <c r="N61" s="1">
        <v>44194</v>
      </c>
      <c r="R61">
        <v>59.26</v>
      </c>
      <c r="S61">
        <v>17.05</v>
      </c>
      <c r="T61">
        <v>10.32</v>
      </c>
      <c r="U61" t="s">
        <v>32</v>
      </c>
      <c r="V61" t="s">
        <v>32</v>
      </c>
      <c r="Y61">
        <v>13.3</v>
      </c>
      <c r="Z61">
        <v>-27.64</v>
      </c>
      <c r="AA61">
        <v>-11.33</v>
      </c>
      <c r="AB61">
        <v>-13.28</v>
      </c>
    </row>
    <row r="62" spans="1:28" hidden="1" x14ac:dyDescent="0.2">
      <c r="A62" t="s">
        <v>190</v>
      </c>
      <c r="B62" t="s">
        <v>191</v>
      </c>
      <c r="F62">
        <v>22</v>
      </c>
      <c r="H62">
        <v>0</v>
      </c>
      <c r="I62">
        <v>0</v>
      </c>
      <c r="K62" s="1">
        <v>43316</v>
      </c>
      <c r="L62" t="s">
        <v>43</v>
      </c>
      <c r="M62" t="s">
        <v>192</v>
      </c>
      <c r="N62" s="1">
        <v>44194</v>
      </c>
      <c r="R62">
        <v>-13.51</v>
      </c>
      <c r="S62">
        <v>-14.44</v>
      </c>
      <c r="T62">
        <v>-14.97</v>
      </c>
      <c r="U62" t="s">
        <v>32</v>
      </c>
      <c r="V62" t="s">
        <v>32</v>
      </c>
      <c r="Y62">
        <v>0</v>
      </c>
      <c r="Z62">
        <v>4.8499999999999996</v>
      </c>
      <c r="AA62">
        <v>2.48</v>
      </c>
      <c r="AB62">
        <v>19.87</v>
      </c>
    </row>
    <row r="63" spans="1:28" hidden="1" x14ac:dyDescent="0.2">
      <c r="A63" t="s">
        <v>193</v>
      </c>
      <c r="B63" t="s">
        <v>194</v>
      </c>
      <c r="F63">
        <v>52</v>
      </c>
      <c r="I63">
        <v>0</v>
      </c>
      <c r="J63" t="s">
        <v>68</v>
      </c>
      <c r="K63" s="1">
        <v>43316</v>
      </c>
      <c r="L63" t="s">
        <v>95</v>
      </c>
      <c r="M63" t="s">
        <v>96</v>
      </c>
    </row>
    <row r="64" spans="1:28" hidden="1" x14ac:dyDescent="0.2">
      <c r="A64" s="2" t="s">
        <v>1681</v>
      </c>
      <c r="B64" t="s">
        <v>1682</v>
      </c>
      <c r="F64">
        <v>40</v>
      </c>
      <c r="G64">
        <v>2.9</v>
      </c>
      <c r="J64" t="s">
        <v>80</v>
      </c>
      <c r="K64" s="1">
        <v>43720</v>
      </c>
      <c r="N64" s="1">
        <v>44194</v>
      </c>
      <c r="R64">
        <v>223.47</v>
      </c>
      <c r="Y64">
        <v>0</v>
      </c>
    </row>
    <row r="65" spans="1:28" hidden="1" x14ac:dyDescent="0.2">
      <c r="A65" t="s">
        <v>198</v>
      </c>
      <c r="B65" t="s">
        <v>199</v>
      </c>
      <c r="F65">
        <v>57</v>
      </c>
      <c r="H65">
        <v>1</v>
      </c>
      <c r="I65">
        <v>0</v>
      </c>
      <c r="K65" s="1">
        <v>43316</v>
      </c>
      <c r="L65" t="s">
        <v>35</v>
      </c>
      <c r="M65" t="s">
        <v>50</v>
      </c>
      <c r="N65" s="1">
        <v>44189</v>
      </c>
      <c r="P65">
        <v>4000</v>
      </c>
      <c r="Q65">
        <v>0.4</v>
      </c>
      <c r="R65">
        <v>18.920000000000002</v>
      </c>
      <c r="S65">
        <v>-20.03</v>
      </c>
      <c r="T65">
        <v>-8.34</v>
      </c>
      <c r="U65">
        <v>0.53</v>
      </c>
      <c r="V65">
        <v>1.79</v>
      </c>
      <c r="Y65">
        <v>0.8</v>
      </c>
      <c r="Z65">
        <v>5.36</v>
      </c>
      <c r="AA65">
        <v>1.42</v>
      </c>
      <c r="AB65">
        <v>3.68</v>
      </c>
    </row>
    <row r="66" spans="1:28" hidden="1" x14ac:dyDescent="0.2">
      <c r="A66" t="s">
        <v>200</v>
      </c>
      <c r="B66" t="s">
        <v>201</v>
      </c>
      <c r="F66">
        <v>59</v>
      </c>
      <c r="I66">
        <v>0</v>
      </c>
      <c r="K66" s="1">
        <v>43316</v>
      </c>
      <c r="L66" t="s">
        <v>26</v>
      </c>
      <c r="M66" t="s">
        <v>202</v>
      </c>
      <c r="N66" s="1">
        <v>44189</v>
      </c>
      <c r="O66">
        <v>7352</v>
      </c>
      <c r="P66">
        <v>23400</v>
      </c>
      <c r="Q66">
        <v>2.88</v>
      </c>
      <c r="R66">
        <v>-5.63</v>
      </c>
      <c r="S66">
        <v>10.87</v>
      </c>
      <c r="T66">
        <v>8.8800000000000008</v>
      </c>
      <c r="U66">
        <v>16.38</v>
      </c>
      <c r="V66">
        <v>8.0500000000000007</v>
      </c>
      <c r="X66">
        <v>4290</v>
      </c>
      <c r="Y66">
        <v>1.5</v>
      </c>
      <c r="Z66">
        <v>29.42</v>
      </c>
      <c r="AA66">
        <v>11.84</v>
      </c>
      <c r="AB66">
        <v>67.180000000000007</v>
      </c>
    </row>
    <row r="67" spans="1:28" hidden="1" x14ac:dyDescent="0.2">
      <c r="A67" t="s">
        <v>203</v>
      </c>
      <c r="B67" t="s">
        <v>204</v>
      </c>
      <c r="F67">
        <v>18</v>
      </c>
      <c r="H67">
        <v>1</v>
      </c>
      <c r="I67">
        <v>0</v>
      </c>
      <c r="K67" s="1">
        <v>43316</v>
      </c>
      <c r="L67" t="s">
        <v>30</v>
      </c>
      <c r="M67" t="s">
        <v>205</v>
      </c>
    </row>
    <row r="68" spans="1:28" hidden="1" x14ac:dyDescent="0.2">
      <c r="A68" t="s">
        <v>206</v>
      </c>
      <c r="B68" t="s">
        <v>207</v>
      </c>
      <c r="F68">
        <v>66</v>
      </c>
      <c r="G68">
        <v>3.7</v>
      </c>
      <c r="H68">
        <v>1</v>
      </c>
      <c r="I68">
        <v>0</v>
      </c>
      <c r="J68" t="s">
        <v>80</v>
      </c>
      <c r="K68" s="1">
        <v>43716</v>
      </c>
      <c r="L68" t="s">
        <v>35</v>
      </c>
      <c r="M68" t="s">
        <v>50</v>
      </c>
      <c r="N68" s="1">
        <v>44189</v>
      </c>
      <c r="P68">
        <v>12500</v>
      </c>
      <c r="Q68">
        <v>2.21</v>
      </c>
      <c r="R68">
        <v>15.15</v>
      </c>
      <c r="S68">
        <v>5.25</v>
      </c>
      <c r="T68">
        <v>13.66</v>
      </c>
      <c r="U68">
        <v>14.07</v>
      </c>
      <c r="V68">
        <v>11.63</v>
      </c>
      <c r="Y68">
        <v>2</v>
      </c>
      <c r="Z68">
        <v>15.33</v>
      </c>
      <c r="AA68">
        <v>1.18</v>
      </c>
      <c r="AB68">
        <v>30.17</v>
      </c>
    </row>
    <row r="69" spans="1:28" hidden="1" x14ac:dyDescent="0.2">
      <c r="A69" t="s">
        <v>208</v>
      </c>
      <c r="B69" t="s">
        <v>209</v>
      </c>
      <c r="L69" t="s">
        <v>35</v>
      </c>
      <c r="M69" t="s">
        <v>210</v>
      </c>
      <c r="N69" s="1">
        <v>44194</v>
      </c>
      <c r="R69">
        <v>255.34</v>
      </c>
      <c r="S69">
        <v>26.11</v>
      </c>
      <c r="T69">
        <v>9.92</v>
      </c>
      <c r="U69" t="s">
        <v>32</v>
      </c>
      <c r="V69" t="s">
        <v>32</v>
      </c>
      <c r="Y69">
        <v>0</v>
      </c>
      <c r="Z69">
        <v>0.91</v>
      </c>
      <c r="AA69">
        <v>6.12</v>
      </c>
      <c r="AB69">
        <v>58.09</v>
      </c>
    </row>
    <row r="70" spans="1:28" hidden="1" x14ac:dyDescent="0.2">
      <c r="A70" t="s">
        <v>211</v>
      </c>
      <c r="B70" t="s">
        <v>212</v>
      </c>
      <c r="F70">
        <v>57</v>
      </c>
      <c r="H70">
        <v>1</v>
      </c>
      <c r="I70">
        <v>0</v>
      </c>
      <c r="K70" s="1">
        <v>43316</v>
      </c>
      <c r="L70" t="s">
        <v>213</v>
      </c>
      <c r="M70" t="s">
        <v>214</v>
      </c>
      <c r="N70" s="1">
        <v>44189</v>
      </c>
      <c r="P70">
        <v>5454</v>
      </c>
      <c r="Q70">
        <v>1.87</v>
      </c>
      <c r="R70">
        <v>-2.31</v>
      </c>
      <c r="S70">
        <v>17.53</v>
      </c>
      <c r="T70">
        <v>18.73</v>
      </c>
      <c r="U70">
        <v>16.760000000000002</v>
      </c>
      <c r="V70">
        <v>15.61</v>
      </c>
      <c r="Y70">
        <v>2</v>
      </c>
      <c r="Z70">
        <v>24.08</v>
      </c>
      <c r="AA70">
        <v>4.68</v>
      </c>
      <c r="AB70">
        <v>42.09</v>
      </c>
    </row>
    <row r="71" spans="1:28" hidden="1" x14ac:dyDescent="0.2">
      <c r="A71" s="2" t="s">
        <v>1373</v>
      </c>
      <c r="B71" t="s">
        <v>1374</v>
      </c>
      <c r="H71">
        <v>0</v>
      </c>
      <c r="I71">
        <v>0</v>
      </c>
      <c r="J71" t="s">
        <v>1029</v>
      </c>
      <c r="L71" t="s">
        <v>95</v>
      </c>
      <c r="M71" t="s">
        <v>542</v>
      </c>
      <c r="N71" s="1">
        <v>44197</v>
      </c>
      <c r="O71">
        <v>-1651</v>
      </c>
      <c r="P71" t="s">
        <v>2403</v>
      </c>
      <c r="Q71" t="s">
        <v>32</v>
      </c>
      <c r="R71">
        <v>14.2</v>
      </c>
      <c r="S71" t="s">
        <v>32</v>
      </c>
      <c r="T71" t="s">
        <v>32</v>
      </c>
      <c r="U71" t="s">
        <v>32</v>
      </c>
      <c r="V71" t="s">
        <v>32</v>
      </c>
      <c r="X71">
        <v>971</v>
      </c>
      <c r="Y71">
        <v>0</v>
      </c>
      <c r="Z71">
        <v>-58.71</v>
      </c>
      <c r="AA71">
        <v>-30.85</v>
      </c>
      <c r="AB71">
        <v>-66.13</v>
      </c>
    </row>
    <row r="72" spans="1:28" hidden="1" x14ac:dyDescent="0.2">
      <c r="A72" s="2" t="s">
        <v>630</v>
      </c>
      <c r="B72" t="s">
        <v>544</v>
      </c>
      <c r="J72" t="s">
        <v>80</v>
      </c>
      <c r="L72" t="s">
        <v>99</v>
      </c>
      <c r="M72" t="s">
        <v>621</v>
      </c>
      <c r="N72" s="1">
        <v>44197</v>
      </c>
      <c r="O72">
        <v>-166</v>
      </c>
      <c r="P72" t="s">
        <v>2403</v>
      </c>
      <c r="Q72" t="s">
        <v>32</v>
      </c>
      <c r="R72">
        <v>14.7</v>
      </c>
      <c r="S72">
        <v>28.58</v>
      </c>
      <c r="T72">
        <v>43.56</v>
      </c>
      <c r="U72" t="s">
        <v>32</v>
      </c>
      <c r="V72" t="s">
        <v>32</v>
      </c>
      <c r="X72" t="s">
        <v>32</v>
      </c>
      <c r="Y72">
        <v>3.3</v>
      </c>
      <c r="Z72">
        <v>-2.92</v>
      </c>
      <c r="AA72">
        <v>-2.68</v>
      </c>
      <c r="AB72">
        <v>-49.01</v>
      </c>
    </row>
    <row r="73" spans="1:28" hidden="1" x14ac:dyDescent="0.2">
      <c r="A73" t="s">
        <v>2119</v>
      </c>
      <c r="B73" t="s">
        <v>2120</v>
      </c>
      <c r="F73">
        <v>41</v>
      </c>
      <c r="H73">
        <v>1</v>
      </c>
      <c r="I73">
        <v>0</v>
      </c>
      <c r="K73" s="1">
        <v>43316</v>
      </c>
      <c r="L73" t="s">
        <v>43</v>
      </c>
      <c r="M73" t="s">
        <v>47</v>
      </c>
      <c r="N73" s="1">
        <v>44193</v>
      </c>
      <c r="Q73">
        <v>1.07</v>
      </c>
      <c r="R73">
        <v>56.87</v>
      </c>
      <c r="S73">
        <v>25.2</v>
      </c>
      <c r="T73">
        <v>11.67</v>
      </c>
      <c r="U73">
        <v>20.18</v>
      </c>
      <c r="V73">
        <v>17.5</v>
      </c>
      <c r="Y73">
        <v>1.9</v>
      </c>
      <c r="Z73">
        <v>7.62</v>
      </c>
      <c r="AA73">
        <v>12.32</v>
      </c>
      <c r="AB73">
        <v>44.97</v>
      </c>
    </row>
    <row r="74" spans="1:28" hidden="1" x14ac:dyDescent="0.2">
      <c r="A74" t="s">
        <v>222</v>
      </c>
      <c r="B74" t="s">
        <v>223</v>
      </c>
      <c r="F74">
        <v>39</v>
      </c>
      <c r="H74">
        <v>1</v>
      </c>
      <c r="I74">
        <v>0</v>
      </c>
      <c r="K74" s="1">
        <v>43316</v>
      </c>
      <c r="L74" t="s">
        <v>43</v>
      </c>
      <c r="M74" t="s">
        <v>137</v>
      </c>
      <c r="N74" s="1">
        <v>44194</v>
      </c>
      <c r="R74">
        <v>40.08</v>
      </c>
      <c r="S74">
        <v>10.119999999999999</v>
      </c>
      <c r="T74">
        <v>2.8</v>
      </c>
      <c r="U74">
        <v>9.3699999999999992</v>
      </c>
      <c r="V74">
        <v>7.93</v>
      </c>
      <c r="Y74">
        <v>0.9</v>
      </c>
      <c r="Z74">
        <v>1.92</v>
      </c>
      <c r="AA74">
        <v>3.87</v>
      </c>
      <c r="AB74">
        <v>12.21</v>
      </c>
    </row>
    <row r="75" spans="1:28" hidden="1" x14ac:dyDescent="0.2">
      <c r="A75" t="s">
        <v>224</v>
      </c>
      <c r="B75" t="s">
        <v>225</v>
      </c>
      <c r="F75">
        <v>70</v>
      </c>
      <c r="H75">
        <v>1</v>
      </c>
      <c r="I75">
        <v>0</v>
      </c>
      <c r="K75" s="1">
        <v>43316</v>
      </c>
      <c r="L75" t="s">
        <v>226</v>
      </c>
      <c r="M75" t="s">
        <v>227</v>
      </c>
    </row>
    <row r="76" spans="1:28" hidden="1" x14ac:dyDescent="0.2">
      <c r="A76" t="s">
        <v>228</v>
      </c>
      <c r="B76" t="s">
        <v>229</v>
      </c>
      <c r="F76">
        <v>32</v>
      </c>
      <c r="H76">
        <v>0</v>
      </c>
      <c r="I76">
        <v>0</v>
      </c>
      <c r="K76" s="1">
        <v>43316</v>
      </c>
      <c r="L76" t="s">
        <v>43</v>
      </c>
      <c r="M76" t="s">
        <v>88</v>
      </c>
      <c r="N76" s="1">
        <v>44189</v>
      </c>
      <c r="P76">
        <v>8000</v>
      </c>
      <c r="Q76">
        <v>1.93</v>
      </c>
      <c r="R76">
        <v>24.3</v>
      </c>
      <c r="S76">
        <v>7.06</v>
      </c>
      <c r="T76">
        <v>-2.69</v>
      </c>
      <c r="U76">
        <v>-7.01</v>
      </c>
      <c r="V76">
        <v>-4.7699999999999996</v>
      </c>
      <c r="Y76">
        <v>0</v>
      </c>
      <c r="Z76">
        <v>-3.55</v>
      </c>
      <c r="AA76">
        <v>-3.35</v>
      </c>
      <c r="AB76">
        <v>-12.36</v>
      </c>
    </row>
    <row r="77" spans="1:28" hidden="1" x14ac:dyDescent="0.2">
      <c r="A77" t="s">
        <v>230</v>
      </c>
      <c r="B77" t="s">
        <v>231</v>
      </c>
      <c r="H77">
        <v>1</v>
      </c>
      <c r="I77">
        <v>0</v>
      </c>
      <c r="K77" s="1">
        <v>43316</v>
      </c>
      <c r="L77" t="s">
        <v>95</v>
      </c>
      <c r="M77" t="s">
        <v>232</v>
      </c>
      <c r="N77" s="1">
        <v>44194</v>
      </c>
      <c r="O77">
        <v>8</v>
      </c>
      <c r="R77">
        <v>61.12</v>
      </c>
      <c r="S77">
        <v>8.4499999999999993</v>
      </c>
      <c r="T77">
        <v>7.48</v>
      </c>
      <c r="U77" t="s">
        <v>32</v>
      </c>
      <c r="V77" t="s">
        <v>32</v>
      </c>
      <c r="X77">
        <v>67</v>
      </c>
      <c r="Y77">
        <v>0</v>
      </c>
      <c r="Z77">
        <v>0.56000000000000005</v>
      </c>
      <c r="AA77">
        <v>0.37</v>
      </c>
      <c r="AB77">
        <v>0.62</v>
      </c>
    </row>
    <row r="78" spans="1:28" hidden="1" x14ac:dyDescent="0.2">
      <c r="A78" s="2" t="s">
        <v>1116</v>
      </c>
      <c r="B78" t="s">
        <v>1117</v>
      </c>
      <c r="F78">
        <v>42</v>
      </c>
      <c r="H78">
        <v>1</v>
      </c>
      <c r="I78">
        <v>0</v>
      </c>
      <c r="K78" s="1">
        <v>43316</v>
      </c>
      <c r="L78" t="s">
        <v>26</v>
      </c>
      <c r="M78" t="s">
        <v>238</v>
      </c>
      <c r="N78" s="1">
        <v>44193</v>
      </c>
      <c r="Q78">
        <v>0.61</v>
      </c>
      <c r="R78">
        <v>10.56</v>
      </c>
      <c r="S78">
        <v>18.850000000000001</v>
      </c>
      <c r="T78">
        <v>18.350000000000001</v>
      </c>
      <c r="U78">
        <v>22.41</v>
      </c>
      <c r="V78">
        <v>14.47</v>
      </c>
      <c r="Y78">
        <v>1.6</v>
      </c>
      <c r="Z78">
        <v>5.58</v>
      </c>
      <c r="AA78">
        <v>12.28</v>
      </c>
      <c r="AB78">
        <v>30.35</v>
      </c>
    </row>
    <row r="79" spans="1:28" hidden="1" x14ac:dyDescent="0.2">
      <c r="A79" t="s">
        <v>236</v>
      </c>
      <c r="B79" t="s">
        <v>237</v>
      </c>
      <c r="F79">
        <v>54</v>
      </c>
      <c r="G79">
        <v>3.4</v>
      </c>
      <c r="H79">
        <v>1</v>
      </c>
      <c r="I79">
        <v>0</v>
      </c>
      <c r="J79" t="s">
        <v>80</v>
      </c>
      <c r="K79" s="1">
        <v>43716</v>
      </c>
      <c r="L79" t="s">
        <v>26</v>
      </c>
      <c r="M79" t="s">
        <v>238</v>
      </c>
      <c r="N79" s="1">
        <v>44189</v>
      </c>
      <c r="P79">
        <v>70600</v>
      </c>
      <c r="Q79">
        <v>1.17</v>
      </c>
      <c r="R79">
        <v>2.96</v>
      </c>
      <c r="S79">
        <v>12.16</v>
      </c>
      <c r="T79">
        <v>18.16</v>
      </c>
      <c r="U79">
        <v>19.16</v>
      </c>
      <c r="V79">
        <v>10.1</v>
      </c>
      <c r="Y79">
        <v>1.1000000000000001</v>
      </c>
      <c r="Z79">
        <v>4.22</v>
      </c>
      <c r="AA79">
        <v>6.03</v>
      </c>
      <c r="AB79">
        <v>15.19</v>
      </c>
    </row>
    <row r="80" spans="1:28" hidden="1" x14ac:dyDescent="0.2">
      <c r="A80" t="s">
        <v>239</v>
      </c>
      <c r="B80" t="s">
        <v>240</v>
      </c>
      <c r="F80">
        <v>51</v>
      </c>
      <c r="H80">
        <v>1</v>
      </c>
      <c r="I80">
        <v>0</v>
      </c>
      <c r="K80" s="1">
        <v>43316</v>
      </c>
      <c r="L80" t="s">
        <v>35</v>
      </c>
      <c r="M80" t="s">
        <v>155</v>
      </c>
      <c r="N80" s="1">
        <v>44189</v>
      </c>
      <c r="P80">
        <v>50000</v>
      </c>
      <c r="Q80">
        <v>0.87</v>
      </c>
      <c r="R80">
        <v>0.9</v>
      </c>
      <c r="S80">
        <v>16.89</v>
      </c>
      <c r="T80">
        <v>18.64</v>
      </c>
      <c r="U80">
        <v>16.95</v>
      </c>
      <c r="V80">
        <v>12.88</v>
      </c>
      <c r="Y80">
        <v>1.6</v>
      </c>
      <c r="Z80">
        <v>16.559999999999999</v>
      </c>
      <c r="AA80">
        <v>6.11</v>
      </c>
      <c r="AB80">
        <v>51.72</v>
      </c>
    </row>
    <row r="81" spans="1:28" hidden="1" x14ac:dyDescent="0.2">
      <c r="A81" t="s">
        <v>241</v>
      </c>
      <c r="B81" t="s">
        <v>242</v>
      </c>
      <c r="F81">
        <v>42</v>
      </c>
      <c r="H81">
        <v>1</v>
      </c>
      <c r="I81">
        <v>0</v>
      </c>
      <c r="K81" s="1">
        <v>43316</v>
      </c>
      <c r="L81" t="s">
        <v>226</v>
      </c>
      <c r="M81" t="s">
        <v>243</v>
      </c>
      <c r="N81" s="1">
        <v>44189</v>
      </c>
      <c r="P81">
        <v>3163</v>
      </c>
      <c r="Q81">
        <v>2.52</v>
      </c>
      <c r="R81">
        <v>-43.06</v>
      </c>
      <c r="S81">
        <v>-26.4</v>
      </c>
      <c r="T81">
        <v>-16.010000000000002</v>
      </c>
      <c r="U81">
        <v>-15.09</v>
      </c>
      <c r="V81">
        <v>-6.41</v>
      </c>
      <c r="Y81">
        <v>0</v>
      </c>
      <c r="Z81">
        <v>-164.52</v>
      </c>
      <c r="AA81">
        <v>-45.78</v>
      </c>
      <c r="AB81">
        <v>-336.74</v>
      </c>
    </row>
    <row r="82" spans="1:28" hidden="1" x14ac:dyDescent="0.2">
      <c r="A82" t="s">
        <v>244</v>
      </c>
      <c r="B82" t="s">
        <v>245</v>
      </c>
      <c r="F82">
        <v>46</v>
      </c>
      <c r="H82">
        <v>1</v>
      </c>
      <c r="I82">
        <v>0</v>
      </c>
      <c r="K82" s="1">
        <v>43316</v>
      </c>
      <c r="L82" t="s">
        <v>226</v>
      </c>
      <c r="M82" t="s">
        <v>243</v>
      </c>
    </row>
    <row r="83" spans="1:28" hidden="1" x14ac:dyDescent="0.2">
      <c r="A83" t="s">
        <v>1569</v>
      </c>
      <c r="B83" t="s">
        <v>1570</v>
      </c>
      <c r="F83">
        <v>42</v>
      </c>
      <c r="G83">
        <v>2.8</v>
      </c>
      <c r="H83">
        <v>1</v>
      </c>
      <c r="I83">
        <v>0</v>
      </c>
      <c r="J83" t="s">
        <v>53</v>
      </c>
      <c r="K83" s="1">
        <v>43716</v>
      </c>
      <c r="L83" t="s">
        <v>39</v>
      </c>
      <c r="M83" t="s">
        <v>593</v>
      </c>
      <c r="N83" s="1">
        <v>44193</v>
      </c>
      <c r="Q83">
        <v>1.59</v>
      </c>
      <c r="R83">
        <v>22.18</v>
      </c>
      <c r="S83">
        <v>19.2</v>
      </c>
      <c r="T83">
        <v>23.53</v>
      </c>
      <c r="U83">
        <v>15.32</v>
      </c>
      <c r="V83">
        <v>12.53</v>
      </c>
      <c r="Y83">
        <v>2.8</v>
      </c>
      <c r="Z83">
        <v>20.23</v>
      </c>
      <c r="AA83">
        <v>5.3</v>
      </c>
      <c r="AB83">
        <v>13.28</v>
      </c>
    </row>
    <row r="84" spans="1:28" hidden="1" x14ac:dyDescent="0.2">
      <c r="A84" t="s">
        <v>403</v>
      </c>
      <c r="B84" t="s">
        <v>404</v>
      </c>
      <c r="F84">
        <v>43</v>
      </c>
      <c r="H84">
        <v>1</v>
      </c>
      <c r="I84">
        <v>0</v>
      </c>
      <c r="K84" s="1">
        <v>43316</v>
      </c>
      <c r="L84" t="s">
        <v>43</v>
      </c>
      <c r="M84" t="s">
        <v>405</v>
      </c>
      <c r="N84" s="1">
        <v>44192</v>
      </c>
      <c r="Q84">
        <v>0.62</v>
      </c>
      <c r="R84">
        <v>42.48</v>
      </c>
      <c r="S84">
        <v>35.229999999999997</v>
      </c>
      <c r="T84">
        <v>21.11</v>
      </c>
      <c r="U84">
        <v>18.649999999999999</v>
      </c>
      <c r="V84">
        <v>16.149999999999999</v>
      </c>
      <c r="Y84">
        <v>3.9</v>
      </c>
      <c r="Z84">
        <v>4.54</v>
      </c>
      <c r="AA84">
        <v>3.12</v>
      </c>
      <c r="AB84">
        <v>16.57</v>
      </c>
    </row>
    <row r="85" spans="1:28" hidden="1" x14ac:dyDescent="0.2">
      <c r="A85" t="s">
        <v>252</v>
      </c>
      <c r="B85" t="s">
        <v>253</v>
      </c>
      <c r="J85" t="s">
        <v>68</v>
      </c>
    </row>
    <row r="86" spans="1:28" hidden="1" x14ac:dyDescent="0.2">
      <c r="A86" t="s">
        <v>254</v>
      </c>
      <c r="B86" t="s">
        <v>255</v>
      </c>
      <c r="L86" t="s">
        <v>226</v>
      </c>
      <c r="M86" t="s">
        <v>243</v>
      </c>
    </row>
    <row r="87" spans="1:28" hidden="1" x14ac:dyDescent="0.2">
      <c r="A87" t="s">
        <v>1158</v>
      </c>
      <c r="B87" t="s">
        <v>1159</v>
      </c>
      <c r="L87" t="s">
        <v>26</v>
      </c>
      <c r="M87" t="s">
        <v>77</v>
      </c>
      <c r="N87" s="1">
        <v>44197</v>
      </c>
      <c r="O87">
        <v>14</v>
      </c>
      <c r="P87" t="s">
        <v>2403</v>
      </c>
      <c r="Q87" t="s">
        <v>32</v>
      </c>
      <c r="R87">
        <v>47.87</v>
      </c>
      <c r="S87">
        <v>-1.02</v>
      </c>
      <c r="T87">
        <v>-9.18</v>
      </c>
      <c r="U87">
        <v>-4.7</v>
      </c>
      <c r="V87" t="s">
        <v>32</v>
      </c>
      <c r="X87">
        <v>49</v>
      </c>
      <c r="Y87">
        <v>0</v>
      </c>
      <c r="Z87">
        <v>3.59</v>
      </c>
      <c r="AA87">
        <v>2.93</v>
      </c>
      <c r="AB87">
        <v>25.06</v>
      </c>
    </row>
    <row r="88" spans="1:28" hidden="1" x14ac:dyDescent="0.2">
      <c r="A88" t="s">
        <v>259</v>
      </c>
      <c r="B88" t="s">
        <v>260</v>
      </c>
      <c r="F88">
        <v>43</v>
      </c>
      <c r="H88">
        <v>1</v>
      </c>
      <c r="I88">
        <v>0</v>
      </c>
      <c r="K88" s="1">
        <v>43316</v>
      </c>
      <c r="L88" t="s">
        <v>30</v>
      </c>
      <c r="M88" t="s">
        <v>261</v>
      </c>
      <c r="N88" s="1">
        <v>44189</v>
      </c>
      <c r="P88">
        <v>3602</v>
      </c>
      <c r="Q88">
        <v>20.89</v>
      </c>
      <c r="R88">
        <v>-52.73</v>
      </c>
      <c r="S88">
        <v>-21.76</v>
      </c>
      <c r="T88">
        <v>-1.66</v>
      </c>
      <c r="U88">
        <v>-2.7</v>
      </c>
      <c r="V88">
        <v>3.57</v>
      </c>
      <c r="Y88">
        <v>0</v>
      </c>
      <c r="Z88">
        <v>-9.82</v>
      </c>
      <c r="AA88">
        <v>-5.72</v>
      </c>
      <c r="AB88">
        <v>-11.67</v>
      </c>
    </row>
    <row r="89" spans="1:28" hidden="1" x14ac:dyDescent="0.2">
      <c r="A89" t="s">
        <v>262</v>
      </c>
      <c r="B89" t="s">
        <v>263</v>
      </c>
      <c r="L89" t="s">
        <v>43</v>
      </c>
      <c r="M89" t="s">
        <v>264</v>
      </c>
      <c r="N89" s="1">
        <v>44189</v>
      </c>
      <c r="P89">
        <v>170750</v>
      </c>
      <c r="Q89">
        <v>1.26</v>
      </c>
      <c r="R89">
        <v>-12.77</v>
      </c>
      <c r="S89">
        <v>-3.19</v>
      </c>
      <c r="T89">
        <v>4.1100000000000003</v>
      </c>
      <c r="U89" t="s">
        <v>32</v>
      </c>
      <c r="V89" t="s">
        <v>32</v>
      </c>
      <c r="Y89">
        <v>0</v>
      </c>
      <c r="Z89">
        <v>-3.6</v>
      </c>
      <c r="AA89">
        <v>-3.13</v>
      </c>
      <c r="AB89">
        <v>-15.24</v>
      </c>
    </row>
    <row r="90" spans="1:28" hidden="1" x14ac:dyDescent="0.2">
      <c r="A90" t="s">
        <v>2184</v>
      </c>
      <c r="B90" t="s">
        <v>2185</v>
      </c>
      <c r="F90">
        <v>44</v>
      </c>
      <c r="H90">
        <v>1</v>
      </c>
      <c r="I90">
        <v>0</v>
      </c>
      <c r="K90" s="1">
        <v>43316</v>
      </c>
      <c r="L90" t="s">
        <v>39</v>
      </c>
      <c r="M90" t="s">
        <v>593</v>
      </c>
      <c r="N90" s="1">
        <v>44193</v>
      </c>
      <c r="Q90">
        <v>1.9</v>
      </c>
      <c r="R90">
        <v>15.5</v>
      </c>
      <c r="S90">
        <v>16.98</v>
      </c>
      <c r="T90">
        <v>23.05</v>
      </c>
      <c r="U90">
        <v>17.41</v>
      </c>
      <c r="V90">
        <v>17.71</v>
      </c>
      <c r="Y90">
        <v>2.9</v>
      </c>
      <c r="Z90">
        <v>27.4</v>
      </c>
      <c r="AA90">
        <v>8.5500000000000007</v>
      </c>
      <c r="AB90">
        <v>30.51</v>
      </c>
    </row>
    <row r="91" spans="1:28" hidden="1" x14ac:dyDescent="0.2">
      <c r="A91" s="2" t="s">
        <v>786</v>
      </c>
      <c r="B91" t="s">
        <v>787</v>
      </c>
      <c r="F91">
        <v>44</v>
      </c>
      <c r="H91">
        <v>1</v>
      </c>
      <c r="I91">
        <v>0</v>
      </c>
      <c r="K91" s="1">
        <v>43316</v>
      </c>
      <c r="L91" t="s">
        <v>39</v>
      </c>
      <c r="M91" t="s">
        <v>329</v>
      </c>
      <c r="N91" s="1">
        <v>44192</v>
      </c>
      <c r="Q91">
        <v>0.93</v>
      </c>
      <c r="R91">
        <v>40.159999999999997</v>
      </c>
      <c r="S91">
        <v>18.38</v>
      </c>
      <c r="T91">
        <v>12.32</v>
      </c>
      <c r="U91">
        <v>19.22</v>
      </c>
      <c r="V91">
        <v>11.92</v>
      </c>
      <c r="Y91">
        <v>2.2000000000000002</v>
      </c>
      <c r="Z91">
        <v>11.29</v>
      </c>
      <c r="AA91">
        <v>5.3</v>
      </c>
      <c r="AB91">
        <v>16.23</v>
      </c>
    </row>
    <row r="92" spans="1:28" hidden="1" x14ac:dyDescent="0.2">
      <c r="A92" t="s">
        <v>270</v>
      </c>
      <c r="B92" t="s">
        <v>271</v>
      </c>
      <c r="L92" t="s">
        <v>95</v>
      </c>
      <c r="M92" t="s">
        <v>272</v>
      </c>
      <c r="N92" s="1">
        <v>44194</v>
      </c>
      <c r="R92">
        <v>15.37</v>
      </c>
      <c r="S92">
        <v>6.6</v>
      </c>
      <c r="T92">
        <v>11.96</v>
      </c>
      <c r="U92">
        <v>11.06</v>
      </c>
      <c r="V92">
        <v>7.64</v>
      </c>
      <c r="Y92">
        <v>2.4</v>
      </c>
      <c r="Z92">
        <v>1.67</v>
      </c>
      <c r="AA92">
        <v>2.95</v>
      </c>
      <c r="AB92">
        <v>9.7200000000000006</v>
      </c>
    </row>
    <row r="93" spans="1:28" hidden="1" x14ac:dyDescent="0.2">
      <c r="A93" s="2" t="s">
        <v>1348</v>
      </c>
      <c r="B93" t="s">
        <v>1349</v>
      </c>
      <c r="F93">
        <v>45</v>
      </c>
      <c r="H93">
        <v>0</v>
      </c>
      <c r="I93">
        <v>0</v>
      </c>
      <c r="K93" s="1">
        <v>43316</v>
      </c>
      <c r="L93" t="s">
        <v>43</v>
      </c>
      <c r="M93" t="s">
        <v>869</v>
      </c>
      <c r="N93" s="1">
        <v>44193</v>
      </c>
      <c r="Q93">
        <v>1.44</v>
      </c>
      <c r="R93">
        <v>37.78</v>
      </c>
      <c r="S93">
        <v>22.8</v>
      </c>
      <c r="T93">
        <v>17.61</v>
      </c>
      <c r="U93">
        <v>21.25</v>
      </c>
      <c r="V93">
        <v>11.68</v>
      </c>
      <c r="Y93">
        <v>1</v>
      </c>
      <c r="Z93">
        <v>6.27</v>
      </c>
      <c r="AA93">
        <v>11.79</v>
      </c>
      <c r="AB93">
        <v>163.68</v>
      </c>
    </row>
    <row r="94" spans="1:28" hidden="1" x14ac:dyDescent="0.2">
      <c r="A94" s="2" t="s">
        <v>246</v>
      </c>
      <c r="B94" t="s">
        <v>247</v>
      </c>
      <c r="F94">
        <v>46</v>
      </c>
      <c r="H94">
        <v>1</v>
      </c>
      <c r="I94">
        <v>0</v>
      </c>
      <c r="K94" s="1">
        <v>43316</v>
      </c>
      <c r="L94" t="s">
        <v>30</v>
      </c>
      <c r="M94" t="s">
        <v>248</v>
      </c>
      <c r="N94" s="1">
        <v>44189</v>
      </c>
      <c r="O94">
        <v>1887</v>
      </c>
      <c r="P94">
        <v>19000</v>
      </c>
      <c r="Q94">
        <v>1.85</v>
      </c>
      <c r="R94">
        <v>15.43</v>
      </c>
      <c r="S94">
        <v>19.7</v>
      </c>
      <c r="T94">
        <v>17.41</v>
      </c>
      <c r="U94">
        <v>13.1</v>
      </c>
      <c r="V94">
        <v>11.75</v>
      </c>
      <c r="X94">
        <v>84</v>
      </c>
      <c r="Y94">
        <v>1.7</v>
      </c>
      <c r="Z94">
        <v>21.3</v>
      </c>
      <c r="AA94">
        <v>8.5500000000000007</v>
      </c>
      <c r="AB94">
        <v>16.309999999999999</v>
      </c>
    </row>
    <row r="95" spans="1:28" hidden="1" x14ac:dyDescent="0.2">
      <c r="A95" t="s">
        <v>278</v>
      </c>
      <c r="B95" t="s">
        <v>279</v>
      </c>
      <c r="H95">
        <v>1</v>
      </c>
      <c r="I95">
        <v>0</v>
      </c>
      <c r="J95" t="s">
        <v>68</v>
      </c>
      <c r="L95" t="s">
        <v>95</v>
      </c>
      <c r="M95" t="s">
        <v>96</v>
      </c>
      <c r="N95" s="1">
        <v>44189</v>
      </c>
      <c r="O95">
        <v>24142</v>
      </c>
      <c r="Q95">
        <v>2.56</v>
      </c>
      <c r="R95">
        <v>0.28999999999999998</v>
      </c>
      <c r="S95">
        <v>4.68</v>
      </c>
      <c r="T95">
        <v>6.28</v>
      </c>
      <c r="U95">
        <v>7.23</v>
      </c>
      <c r="V95">
        <v>8.49</v>
      </c>
      <c r="X95">
        <v>19391</v>
      </c>
      <c r="Y95">
        <v>0</v>
      </c>
      <c r="Z95">
        <v>5.44</v>
      </c>
      <c r="AA95">
        <v>4.22</v>
      </c>
      <c r="AB95">
        <v>11.86</v>
      </c>
    </row>
    <row r="96" spans="1:28" hidden="1" x14ac:dyDescent="0.2">
      <c r="A96" t="s">
        <v>999</v>
      </c>
      <c r="B96" t="s">
        <v>1000</v>
      </c>
      <c r="J96" t="s">
        <v>68</v>
      </c>
      <c r="L96" t="s">
        <v>95</v>
      </c>
      <c r="M96" t="s">
        <v>232</v>
      </c>
      <c r="N96" s="1">
        <v>44189</v>
      </c>
      <c r="O96">
        <v>3163</v>
      </c>
      <c r="P96">
        <v>3882</v>
      </c>
      <c r="Q96">
        <v>0.82</v>
      </c>
      <c r="R96">
        <v>20.59</v>
      </c>
      <c r="S96">
        <v>15.32</v>
      </c>
      <c r="T96">
        <v>22.21</v>
      </c>
      <c r="U96" t="s">
        <v>32</v>
      </c>
      <c r="V96" t="s">
        <v>32</v>
      </c>
      <c r="X96">
        <v>1280</v>
      </c>
      <c r="Y96">
        <v>0</v>
      </c>
      <c r="Z96">
        <v>37.840000000000003</v>
      </c>
      <c r="AA96">
        <v>17.29</v>
      </c>
      <c r="AB96">
        <v>22.36</v>
      </c>
    </row>
    <row r="97" spans="1:28" hidden="1" x14ac:dyDescent="0.2">
      <c r="A97" t="s">
        <v>723</v>
      </c>
      <c r="B97" t="s">
        <v>724</v>
      </c>
      <c r="F97">
        <v>47</v>
      </c>
      <c r="H97">
        <v>1</v>
      </c>
      <c r="I97">
        <v>0</v>
      </c>
      <c r="J97" t="s">
        <v>53</v>
      </c>
      <c r="K97" s="1">
        <v>43316</v>
      </c>
      <c r="L97" t="s">
        <v>95</v>
      </c>
      <c r="M97" t="s">
        <v>117</v>
      </c>
      <c r="N97" s="1">
        <v>44189</v>
      </c>
      <c r="P97">
        <v>74000</v>
      </c>
      <c r="Q97">
        <v>0.76</v>
      </c>
      <c r="R97">
        <v>21.43</v>
      </c>
      <c r="S97">
        <v>14.43</v>
      </c>
      <c r="T97">
        <v>20.07</v>
      </c>
      <c r="U97">
        <v>17.78</v>
      </c>
      <c r="V97">
        <v>18.05</v>
      </c>
      <c r="Y97">
        <v>2.9</v>
      </c>
      <c r="Z97">
        <v>14</v>
      </c>
      <c r="AA97">
        <v>10.39</v>
      </c>
      <c r="AB97">
        <v>25.34</v>
      </c>
    </row>
    <row r="98" spans="1:28" hidden="1" x14ac:dyDescent="0.2">
      <c r="A98" t="s">
        <v>1261</v>
      </c>
      <c r="B98" t="s">
        <v>1262</v>
      </c>
      <c r="F98">
        <v>48</v>
      </c>
      <c r="H98">
        <v>0</v>
      </c>
      <c r="I98">
        <v>0</v>
      </c>
      <c r="J98" t="s">
        <v>80</v>
      </c>
      <c r="K98" s="1">
        <v>43316</v>
      </c>
      <c r="L98" t="s">
        <v>43</v>
      </c>
      <c r="M98" t="s">
        <v>264</v>
      </c>
      <c r="N98" s="1">
        <v>44192</v>
      </c>
      <c r="Q98">
        <v>0.76</v>
      </c>
      <c r="R98">
        <v>38.049999999999997</v>
      </c>
      <c r="S98">
        <v>28.02</v>
      </c>
      <c r="T98">
        <v>30.08</v>
      </c>
      <c r="U98">
        <v>38.450000000000003</v>
      </c>
      <c r="V98">
        <v>20.83</v>
      </c>
      <c r="Y98">
        <v>2.2000000000000002</v>
      </c>
    </row>
    <row r="99" spans="1:28" hidden="1" x14ac:dyDescent="0.2">
      <c r="A99" t="s">
        <v>288</v>
      </c>
      <c r="B99" t="s">
        <v>289</v>
      </c>
      <c r="F99">
        <v>83</v>
      </c>
      <c r="H99">
        <v>0</v>
      </c>
      <c r="I99">
        <v>0</v>
      </c>
      <c r="K99" s="1">
        <v>43316</v>
      </c>
      <c r="L99" t="s">
        <v>71</v>
      </c>
      <c r="M99" t="s">
        <v>149</v>
      </c>
      <c r="N99" s="1">
        <v>44189</v>
      </c>
      <c r="P99">
        <v>3122</v>
      </c>
      <c r="Q99">
        <v>3.78</v>
      </c>
      <c r="R99">
        <v>-21.29</v>
      </c>
      <c r="S99">
        <v>-0.61</v>
      </c>
      <c r="T99">
        <v>0.28999999999999998</v>
      </c>
      <c r="U99">
        <v>6.45</v>
      </c>
      <c r="V99">
        <v>6.25</v>
      </c>
      <c r="Y99">
        <v>5.7</v>
      </c>
      <c r="Z99">
        <v>27.9</v>
      </c>
      <c r="AA99">
        <v>3.42</v>
      </c>
      <c r="AB99">
        <v>6.08</v>
      </c>
    </row>
    <row r="100" spans="1:28" hidden="1" x14ac:dyDescent="0.2">
      <c r="A100" t="s">
        <v>837</v>
      </c>
      <c r="B100" t="s">
        <v>838</v>
      </c>
      <c r="F100">
        <v>49</v>
      </c>
      <c r="H100">
        <v>1</v>
      </c>
      <c r="I100">
        <v>0</v>
      </c>
      <c r="K100" s="1">
        <v>43316</v>
      </c>
      <c r="L100" t="s">
        <v>39</v>
      </c>
      <c r="M100" t="s">
        <v>197</v>
      </c>
      <c r="N100" s="1">
        <v>44192</v>
      </c>
      <c r="O100">
        <v>1387</v>
      </c>
      <c r="Q100">
        <v>2.41</v>
      </c>
      <c r="R100">
        <v>28.06</v>
      </c>
      <c r="S100">
        <v>17.73</v>
      </c>
      <c r="T100">
        <v>19.75</v>
      </c>
      <c r="U100">
        <v>10.67</v>
      </c>
      <c r="V100">
        <v>10.15</v>
      </c>
      <c r="X100">
        <v>563</v>
      </c>
      <c r="Y100">
        <v>3.5</v>
      </c>
      <c r="Z100">
        <v>7.53</v>
      </c>
      <c r="AA100">
        <v>4.41</v>
      </c>
      <c r="AB100">
        <v>9.15</v>
      </c>
    </row>
    <row r="101" spans="1:28" hidden="1" x14ac:dyDescent="0.2">
      <c r="A101" t="s">
        <v>292</v>
      </c>
      <c r="B101" t="s">
        <v>293</v>
      </c>
      <c r="F101">
        <v>37</v>
      </c>
      <c r="G101">
        <v>3.3</v>
      </c>
      <c r="K101" s="1">
        <v>43716</v>
      </c>
      <c r="L101" t="s">
        <v>95</v>
      </c>
      <c r="M101" t="s">
        <v>272</v>
      </c>
      <c r="N101" s="1">
        <v>44189</v>
      </c>
      <c r="P101">
        <v>14600</v>
      </c>
      <c r="Q101">
        <v>2.77</v>
      </c>
      <c r="R101">
        <v>-15.94</v>
      </c>
      <c r="S101">
        <v>-1.97</v>
      </c>
      <c r="T101">
        <v>-2.62</v>
      </c>
      <c r="U101">
        <v>2.1</v>
      </c>
      <c r="V101">
        <v>3.41</v>
      </c>
      <c r="Y101">
        <v>1.3</v>
      </c>
      <c r="Z101">
        <v>-0.52</v>
      </c>
      <c r="AA101">
        <v>-1.06</v>
      </c>
      <c r="AB101">
        <v>-2.37</v>
      </c>
    </row>
    <row r="102" spans="1:28" hidden="1" x14ac:dyDescent="0.2">
      <c r="A102" t="s">
        <v>294</v>
      </c>
      <c r="B102" t="s">
        <v>295</v>
      </c>
      <c r="F102">
        <v>83</v>
      </c>
      <c r="H102">
        <v>1</v>
      </c>
      <c r="I102">
        <v>0</v>
      </c>
      <c r="K102" s="1">
        <v>43316</v>
      </c>
      <c r="L102" t="s">
        <v>39</v>
      </c>
      <c r="M102" t="s">
        <v>296</v>
      </c>
      <c r="N102" s="1">
        <v>44189</v>
      </c>
      <c r="P102">
        <v>27950</v>
      </c>
      <c r="Q102">
        <v>1.55</v>
      </c>
      <c r="R102">
        <v>16.71</v>
      </c>
      <c r="S102">
        <v>11.75</v>
      </c>
      <c r="T102">
        <v>20.54</v>
      </c>
      <c r="U102">
        <v>14.8</v>
      </c>
      <c r="V102">
        <v>7.86</v>
      </c>
      <c r="Y102">
        <v>5.0999999999999996</v>
      </c>
      <c r="Z102">
        <v>7.8</v>
      </c>
      <c r="AA102">
        <v>9.5299999999999994</v>
      </c>
      <c r="AB102">
        <v>44.06</v>
      </c>
    </row>
    <row r="103" spans="1:28" hidden="1" x14ac:dyDescent="0.2">
      <c r="A103" t="s">
        <v>581</v>
      </c>
      <c r="B103" t="s">
        <v>582</v>
      </c>
      <c r="F103">
        <v>49</v>
      </c>
      <c r="H103">
        <v>0</v>
      </c>
      <c r="I103">
        <v>0</v>
      </c>
      <c r="K103" s="1">
        <v>43316</v>
      </c>
      <c r="L103" t="s">
        <v>43</v>
      </c>
      <c r="M103" t="s">
        <v>264</v>
      </c>
      <c r="N103" s="1">
        <v>44194</v>
      </c>
      <c r="R103">
        <v>67.48</v>
      </c>
      <c r="S103">
        <v>68.14</v>
      </c>
      <c r="T103">
        <v>23.21</v>
      </c>
      <c r="U103">
        <v>20.34</v>
      </c>
      <c r="V103" t="s">
        <v>32</v>
      </c>
      <c r="Y103">
        <v>2.4</v>
      </c>
      <c r="Z103">
        <v>4.08</v>
      </c>
      <c r="AA103">
        <v>4.49</v>
      </c>
      <c r="AB103">
        <v>13.84</v>
      </c>
    </row>
    <row r="104" spans="1:28" hidden="1" x14ac:dyDescent="0.2">
      <c r="A104" t="s">
        <v>300</v>
      </c>
      <c r="B104" t="s">
        <v>301</v>
      </c>
      <c r="H104">
        <v>1</v>
      </c>
      <c r="I104">
        <v>0</v>
      </c>
      <c r="L104" t="s">
        <v>113</v>
      </c>
      <c r="M104" t="s">
        <v>299</v>
      </c>
      <c r="N104" s="1">
        <v>44189</v>
      </c>
      <c r="P104">
        <v>841</v>
      </c>
      <c r="Q104">
        <v>1.73</v>
      </c>
      <c r="R104">
        <v>-8.35</v>
      </c>
      <c r="S104">
        <v>13.1</v>
      </c>
      <c r="T104">
        <v>14.2</v>
      </c>
      <c r="U104">
        <v>17.600000000000001</v>
      </c>
      <c r="V104">
        <v>12.17</v>
      </c>
      <c r="Y104">
        <v>0</v>
      </c>
      <c r="Z104">
        <v>17.32</v>
      </c>
      <c r="AA104">
        <v>4.96</v>
      </c>
      <c r="AB104">
        <v>13.44</v>
      </c>
    </row>
    <row r="105" spans="1:28" hidden="1" x14ac:dyDescent="0.2">
      <c r="A105" s="2" t="s">
        <v>1434</v>
      </c>
      <c r="B105" t="s">
        <v>1435</v>
      </c>
      <c r="F105">
        <v>50</v>
      </c>
      <c r="H105">
        <v>1</v>
      </c>
      <c r="I105">
        <v>0</v>
      </c>
      <c r="K105" s="1">
        <v>43316</v>
      </c>
      <c r="L105" t="s">
        <v>99</v>
      </c>
      <c r="M105" t="s">
        <v>457</v>
      </c>
      <c r="N105" s="1">
        <v>44193</v>
      </c>
      <c r="Q105">
        <v>1.33</v>
      </c>
      <c r="R105">
        <v>12.58</v>
      </c>
      <c r="S105">
        <v>23.88</v>
      </c>
      <c r="T105">
        <v>17.88</v>
      </c>
      <c r="U105">
        <v>15.85</v>
      </c>
      <c r="V105">
        <v>13.66</v>
      </c>
      <c r="Y105">
        <v>1.9</v>
      </c>
      <c r="Z105">
        <v>13.75</v>
      </c>
      <c r="AA105">
        <v>7.16</v>
      </c>
      <c r="AB105">
        <v>20.54</v>
      </c>
    </row>
    <row r="106" spans="1:28" hidden="1" x14ac:dyDescent="0.2">
      <c r="A106" t="s">
        <v>167</v>
      </c>
      <c r="B106" t="s">
        <v>168</v>
      </c>
      <c r="L106" t="s">
        <v>43</v>
      </c>
      <c r="M106" t="s">
        <v>169</v>
      </c>
      <c r="N106" s="1">
        <v>44197</v>
      </c>
      <c r="O106">
        <v>-1052</v>
      </c>
      <c r="P106" t="s">
        <v>2403</v>
      </c>
      <c r="Q106" t="s">
        <v>32</v>
      </c>
      <c r="R106">
        <v>-22.49</v>
      </c>
      <c r="S106">
        <v>-21.18</v>
      </c>
      <c r="T106">
        <v>-15.13</v>
      </c>
      <c r="U106">
        <v>-4.24</v>
      </c>
      <c r="V106">
        <v>-4.04</v>
      </c>
      <c r="X106" t="s">
        <v>32</v>
      </c>
      <c r="Y106">
        <v>0</v>
      </c>
      <c r="Z106">
        <v>-22.36</v>
      </c>
      <c r="AA106">
        <v>-15.86</v>
      </c>
      <c r="AB106">
        <v>-120.35</v>
      </c>
    </row>
    <row r="107" spans="1:28" hidden="1" x14ac:dyDescent="0.2">
      <c r="A107" t="s">
        <v>306</v>
      </c>
      <c r="B107" t="s">
        <v>307</v>
      </c>
      <c r="F107">
        <v>57</v>
      </c>
      <c r="H107">
        <v>0</v>
      </c>
      <c r="I107">
        <v>0</v>
      </c>
      <c r="K107" s="1">
        <v>43316</v>
      </c>
      <c r="L107" t="s">
        <v>35</v>
      </c>
      <c r="M107" t="s">
        <v>106</v>
      </c>
      <c r="N107" s="1">
        <v>44189</v>
      </c>
      <c r="P107">
        <v>64000</v>
      </c>
      <c r="Q107">
        <v>1.45</v>
      </c>
      <c r="R107">
        <v>-4.55</v>
      </c>
      <c r="S107">
        <v>7.34</v>
      </c>
      <c r="T107">
        <v>12.17</v>
      </c>
      <c r="U107">
        <v>11.68</v>
      </c>
      <c r="V107">
        <v>6.38</v>
      </c>
      <c r="Y107">
        <v>14.1</v>
      </c>
      <c r="Z107">
        <v>11.66</v>
      </c>
      <c r="AA107">
        <v>1.72</v>
      </c>
      <c r="AB107">
        <v>14.63</v>
      </c>
    </row>
    <row r="108" spans="1:28" hidden="1" x14ac:dyDescent="0.2">
      <c r="A108" t="s">
        <v>308</v>
      </c>
      <c r="B108" t="s">
        <v>309</v>
      </c>
      <c r="H108">
        <v>1</v>
      </c>
      <c r="I108">
        <v>0</v>
      </c>
      <c r="J108" t="s">
        <v>68</v>
      </c>
      <c r="K108" s="1">
        <v>43316</v>
      </c>
      <c r="L108" t="s">
        <v>30</v>
      </c>
      <c r="M108" t="s">
        <v>164</v>
      </c>
    </row>
    <row r="109" spans="1:28" hidden="1" x14ac:dyDescent="0.2">
      <c r="A109" t="s">
        <v>2356</v>
      </c>
      <c r="B109" t="s">
        <v>2357</v>
      </c>
      <c r="F109">
        <v>51</v>
      </c>
      <c r="H109">
        <v>1</v>
      </c>
      <c r="I109">
        <v>0</v>
      </c>
      <c r="K109" s="1">
        <v>43316</v>
      </c>
      <c r="L109" t="s">
        <v>39</v>
      </c>
      <c r="M109" t="s">
        <v>197</v>
      </c>
      <c r="N109" s="1">
        <v>44194</v>
      </c>
      <c r="O109">
        <v>224</v>
      </c>
      <c r="Q109">
        <v>1.08</v>
      </c>
      <c r="R109">
        <v>28.63</v>
      </c>
      <c r="S109">
        <v>14.78</v>
      </c>
      <c r="T109">
        <v>23.13</v>
      </c>
      <c r="U109" t="s">
        <v>32</v>
      </c>
      <c r="V109" t="s">
        <v>32</v>
      </c>
      <c r="X109">
        <v>187</v>
      </c>
      <c r="Y109">
        <v>3.9</v>
      </c>
      <c r="Z109">
        <v>4.5999999999999996</v>
      </c>
      <c r="AA109">
        <v>2.81</v>
      </c>
      <c r="AB109">
        <v>7.79</v>
      </c>
    </row>
    <row r="110" spans="1:28" hidden="1" x14ac:dyDescent="0.2">
      <c r="A110" t="s">
        <v>312</v>
      </c>
      <c r="B110" t="s">
        <v>313</v>
      </c>
      <c r="F110">
        <v>40</v>
      </c>
      <c r="H110">
        <v>1</v>
      </c>
      <c r="I110">
        <v>0</v>
      </c>
      <c r="K110" s="1">
        <v>43316</v>
      </c>
      <c r="L110" t="s">
        <v>95</v>
      </c>
      <c r="M110" t="s">
        <v>117</v>
      </c>
      <c r="N110" s="1">
        <v>44189</v>
      </c>
      <c r="P110">
        <v>11500</v>
      </c>
      <c r="Q110">
        <v>0.44</v>
      </c>
      <c r="R110">
        <v>-12.51</v>
      </c>
      <c r="S110">
        <v>-11.21</v>
      </c>
      <c r="T110">
        <v>-12.73</v>
      </c>
      <c r="U110">
        <v>7.71</v>
      </c>
      <c r="V110">
        <v>10.050000000000001</v>
      </c>
      <c r="Y110">
        <v>1.6</v>
      </c>
      <c r="Z110">
        <v>7.46</v>
      </c>
      <c r="AA110">
        <v>7.45</v>
      </c>
      <c r="AB110">
        <v>12.27</v>
      </c>
    </row>
    <row r="111" spans="1:28" hidden="1" x14ac:dyDescent="0.2">
      <c r="A111" s="2" t="s">
        <v>2041</v>
      </c>
      <c r="B111" t="s">
        <v>2042</v>
      </c>
      <c r="F111">
        <v>67</v>
      </c>
      <c r="G111">
        <v>3.9</v>
      </c>
      <c r="N111" s="1">
        <v>44197</v>
      </c>
      <c r="O111">
        <v>-241</v>
      </c>
      <c r="P111" t="s">
        <v>2403</v>
      </c>
      <c r="Q111" t="s">
        <v>32</v>
      </c>
      <c r="R111">
        <v>120.39</v>
      </c>
      <c r="S111">
        <v>114.93</v>
      </c>
      <c r="T111" t="s">
        <v>32</v>
      </c>
      <c r="U111" t="s">
        <v>32</v>
      </c>
      <c r="V111" t="s">
        <v>32</v>
      </c>
      <c r="X111">
        <v>204</v>
      </c>
      <c r="Y111">
        <v>254.3</v>
      </c>
      <c r="Z111">
        <v>-31.38</v>
      </c>
      <c r="AA111">
        <v>-9.56</v>
      </c>
      <c r="AB111">
        <v>-44.67</v>
      </c>
    </row>
    <row r="112" spans="1:28" hidden="1" x14ac:dyDescent="0.2">
      <c r="A112" t="s">
        <v>1478</v>
      </c>
      <c r="B112" t="s">
        <v>1479</v>
      </c>
      <c r="F112">
        <v>42</v>
      </c>
      <c r="H112">
        <v>1</v>
      </c>
      <c r="I112">
        <v>0</v>
      </c>
      <c r="K112" s="1">
        <v>43316</v>
      </c>
      <c r="L112" t="s">
        <v>43</v>
      </c>
      <c r="M112" t="s">
        <v>47</v>
      </c>
      <c r="N112" s="1">
        <v>44197</v>
      </c>
      <c r="O112">
        <v>1825</v>
      </c>
      <c r="P112" t="s">
        <v>2403</v>
      </c>
      <c r="Q112" t="s">
        <v>32</v>
      </c>
      <c r="R112">
        <v>-0.49</v>
      </c>
      <c r="S112">
        <v>18.559999999999999</v>
      </c>
      <c r="T112">
        <v>9.83</v>
      </c>
      <c r="U112">
        <v>15.83</v>
      </c>
      <c r="V112">
        <v>18.600000000000001</v>
      </c>
      <c r="X112" t="s">
        <v>32</v>
      </c>
      <c r="Y112">
        <v>1.3</v>
      </c>
      <c r="Z112" t="s">
        <v>2403</v>
      </c>
      <c r="AA112" t="s">
        <v>2403</v>
      </c>
      <c r="AB112" t="s">
        <v>2403</v>
      </c>
    </row>
    <row r="113" spans="1:28" hidden="1" x14ac:dyDescent="0.2">
      <c r="A113" t="s">
        <v>318</v>
      </c>
      <c r="B113" t="s">
        <v>319</v>
      </c>
      <c r="N113" s="1">
        <v>44189</v>
      </c>
      <c r="R113">
        <v>0</v>
      </c>
      <c r="S113">
        <v>-69.28</v>
      </c>
      <c r="T113">
        <v>-30.01</v>
      </c>
      <c r="U113">
        <v>-9.84</v>
      </c>
      <c r="V113" t="s">
        <v>32</v>
      </c>
      <c r="Y113">
        <v>0</v>
      </c>
    </row>
    <row r="114" spans="1:28" hidden="1" x14ac:dyDescent="0.2">
      <c r="A114" t="s">
        <v>320</v>
      </c>
      <c r="B114" t="s">
        <v>321</v>
      </c>
      <c r="F114">
        <v>53</v>
      </c>
      <c r="H114">
        <v>0</v>
      </c>
      <c r="I114">
        <v>0</v>
      </c>
      <c r="K114" s="1">
        <v>43316</v>
      </c>
      <c r="L114" t="s">
        <v>39</v>
      </c>
      <c r="M114" t="s">
        <v>60</v>
      </c>
      <c r="N114" s="1">
        <v>44189</v>
      </c>
      <c r="P114">
        <v>161100</v>
      </c>
      <c r="Q114">
        <v>1.95</v>
      </c>
      <c r="R114">
        <v>-34.17</v>
      </c>
      <c r="S114">
        <v>-7.41</v>
      </c>
      <c r="T114">
        <v>11.22</v>
      </c>
      <c r="U114">
        <v>14.69</v>
      </c>
      <c r="V114">
        <v>9.09</v>
      </c>
      <c r="Y114">
        <v>0</v>
      </c>
    </row>
    <row r="115" spans="1:28" hidden="1" x14ac:dyDescent="0.2">
      <c r="A115" t="s">
        <v>1484</v>
      </c>
      <c r="B115" t="s">
        <v>1485</v>
      </c>
      <c r="F115">
        <v>68</v>
      </c>
      <c r="G115">
        <v>3.9</v>
      </c>
      <c r="H115">
        <v>1</v>
      </c>
      <c r="I115">
        <v>1</v>
      </c>
      <c r="J115" t="s">
        <v>80</v>
      </c>
      <c r="K115" s="1">
        <v>44138</v>
      </c>
      <c r="L115" t="s">
        <v>43</v>
      </c>
      <c r="M115" t="s">
        <v>47</v>
      </c>
      <c r="N115" s="1">
        <v>44197</v>
      </c>
      <c r="O115">
        <v>131803</v>
      </c>
      <c r="P115" t="s">
        <v>2403</v>
      </c>
      <c r="Q115" t="s">
        <v>32</v>
      </c>
      <c r="R115">
        <v>9.73</v>
      </c>
      <c r="S115">
        <v>10.51</v>
      </c>
      <c r="T115">
        <v>23.42</v>
      </c>
      <c r="U115" t="s">
        <v>32</v>
      </c>
      <c r="V115" t="s">
        <v>32</v>
      </c>
      <c r="X115">
        <v>51991</v>
      </c>
      <c r="Y115">
        <v>0.8</v>
      </c>
      <c r="Z115">
        <v>22.55</v>
      </c>
      <c r="AA115">
        <v>10.17</v>
      </c>
      <c r="AB115">
        <v>18.059999999999999</v>
      </c>
    </row>
    <row r="116" spans="1:28" hidden="1" x14ac:dyDescent="0.2">
      <c r="A116" t="s">
        <v>324</v>
      </c>
      <c r="B116" t="s">
        <v>325</v>
      </c>
      <c r="F116">
        <v>55</v>
      </c>
      <c r="H116">
        <v>1</v>
      </c>
      <c r="I116">
        <v>1</v>
      </c>
      <c r="K116" s="1">
        <v>43316</v>
      </c>
      <c r="L116" t="s">
        <v>35</v>
      </c>
      <c r="M116" t="s">
        <v>326</v>
      </c>
      <c r="N116" s="1">
        <v>44189</v>
      </c>
      <c r="P116">
        <v>211000</v>
      </c>
      <c r="Q116">
        <v>2.56</v>
      </c>
      <c r="R116">
        <v>-12.89</v>
      </c>
      <c r="S116">
        <v>2.1800000000000002</v>
      </c>
      <c r="T116">
        <v>13.49</v>
      </c>
      <c r="U116">
        <v>9.6999999999999993</v>
      </c>
      <c r="V116">
        <v>-1.0900000000000001</v>
      </c>
      <c r="Y116">
        <v>4.0999999999999996</v>
      </c>
      <c r="Z116">
        <v>20.52</v>
      </c>
      <c r="AA116">
        <v>0.7</v>
      </c>
      <c r="AB116">
        <v>7.35</v>
      </c>
    </row>
    <row r="117" spans="1:28" hidden="1" x14ac:dyDescent="0.2">
      <c r="A117" t="s">
        <v>703</v>
      </c>
      <c r="B117" t="s">
        <v>704</v>
      </c>
      <c r="F117">
        <v>52</v>
      </c>
      <c r="H117">
        <v>1</v>
      </c>
      <c r="I117">
        <v>0</v>
      </c>
      <c r="J117" t="s">
        <v>53</v>
      </c>
      <c r="K117" s="1">
        <v>43316</v>
      </c>
      <c r="L117" t="s">
        <v>26</v>
      </c>
      <c r="M117" t="s">
        <v>530</v>
      </c>
      <c r="N117" s="1">
        <v>44194</v>
      </c>
      <c r="O117">
        <v>1663</v>
      </c>
      <c r="R117">
        <v>22.47</v>
      </c>
      <c r="S117">
        <v>31.43</v>
      </c>
      <c r="T117">
        <v>28.09</v>
      </c>
      <c r="U117" t="s">
        <v>32</v>
      </c>
      <c r="V117" t="s">
        <v>32</v>
      </c>
      <c r="X117">
        <v>462</v>
      </c>
      <c r="Y117">
        <v>3.7</v>
      </c>
      <c r="Z117">
        <v>25.42</v>
      </c>
      <c r="AA117">
        <v>13.31</v>
      </c>
      <c r="AB117">
        <v>52.96</v>
      </c>
    </row>
    <row r="118" spans="1:28" hidden="1" x14ac:dyDescent="0.2">
      <c r="A118" t="s">
        <v>330</v>
      </c>
      <c r="B118" t="s">
        <v>331</v>
      </c>
      <c r="F118">
        <v>46</v>
      </c>
      <c r="H118">
        <v>1</v>
      </c>
      <c r="I118">
        <v>0</v>
      </c>
      <c r="K118" s="1">
        <v>43316</v>
      </c>
      <c r="L118" t="s">
        <v>26</v>
      </c>
      <c r="M118" t="s">
        <v>332</v>
      </c>
      <c r="N118" s="1">
        <v>44192</v>
      </c>
      <c r="O118">
        <v>911</v>
      </c>
      <c r="Q118">
        <v>1.22</v>
      </c>
      <c r="R118">
        <v>-4.8899999999999997</v>
      </c>
      <c r="S118">
        <v>8.26</v>
      </c>
      <c r="T118">
        <v>16.89</v>
      </c>
      <c r="U118">
        <v>9.1300000000000008</v>
      </c>
      <c r="V118">
        <v>8.3800000000000008</v>
      </c>
      <c r="X118">
        <v>542</v>
      </c>
      <c r="Y118">
        <v>2.6</v>
      </c>
      <c r="Z118">
        <v>7.9</v>
      </c>
      <c r="AA118">
        <v>4.87</v>
      </c>
      <c r="AB118">
        <v>11.28</v>
      </c>
    </row>
    <row r="119" spans="1:28" hidden="1" x14ac:dyDescent="0.2">
      <c r="A119" t="s">
        <v>333</v>
      </c>
      <c r="B119" t="s">
        <v>334</v>
      </c>
      <c r="F119">
        <v>28</v>
      </c>
      <c r="H119">
        <v>0</v>
      </c>
      <c r="I119">
        <v>0</v>
      </c>
      <c r="K119" s="1">
        <v>43316</v>
      </c>
      <c r="L119" t="s">
        <v>43</v>
      </c>
      <c r="M119" t="s">
        <v>47</v>
      </c>
      <c r="N119" s="1">
        <v>44192</v>
      </c>
      <c r="Q119">
        <v>1.62</v>
      </c>
      <c r="R119">
        <v>8.6199999999999992</v>
      </c>
      <c r="S119">
        <v>-3.64</v>
      </c>
      <c r="T119">
        <v>-15.55</v>
      </c>
      <c r="U119">
        <v>-8.32</v>
      </c>
      <c r="V119">
        <v>-3.62</v>
      </c>
      <c r="Y119">
        <v>1</v>
      </c>
      <c r="Z119">
        <v>-1.91</v>
      </c>
      <c r="AA119">
        <v>-2.4500000000000002</v>
      </c>
      <c r="AB119">
        <v>-10.46</v>
      </c>
    </row>
    <row r="120" spans="1:28" hidden="1" x14ac:dyDescent="0.2">
      <c r="A120" t="s">
        <v>335</v>
      </c>
      <c r="B120" t="s">
        <v>336</v>
      </c>
      <c r="F120">
        <v>48</v>
      </c>
      <c r="H120">
        <v>1</v>
      </c>
      <c r="I120">
        <v>0</v>
      </c>
      <c r="K120" s="1">
        <v>43316</v>
      </c>
      <c r="L120" t="s">
        <v>35</v>
      </c>
      <c r="M120" t="s">
        <v>235</v>
      </c>
      <c r="N120" s="1">
        <v>44192</v>
      </c>
      <c r="R120">
        <v>-73.86</v>
      </c>
      <c r="S120">
        <v>-54.11</v>
      </c>
      <c r="T120">
        <v>62.98</v>
      </c>
      <c r="U120">
        <v>-3.25</v>
      </c>
      <c r="V120" t="s">
        <v>32</v>
      </c>
      <c r="Y120">
        <v>0</v>
      </c>
      <c r="Z120">
        <v>-168.72</v>
      </c>
      <c r="AA120">
        <v>-6.46</v>
      </c>
      <c r="AB120">
        <v>-9.5299999999999994</v>
      </c>
    </row>
    <row r="121" spans="1:28" hidden="1" x14ac:dyDescent="0.2">
      <c r="A121" t="s">
        <v>337</v>
      </c>
      <c r="B121" t="s">
        <v>338</v>
      </c>
      <c r="N121" s="1">
        <v>44192</v>
      </c>
      <c r="Q121">
        <v>3.81</v>
      </c>
      <c r="R121">
        <v>-7.32</v>
      </c>
      <c r="S121">
        <v>-12.68</v>
      </c>
      <c r="T121">
        <v>-3.33</v>
      </c>
      <c r="U121">
        <v>-1.22</v>
      </c>
      <c r="V121">
        <v>-2.1</v>
      </c>
      <c r="Y121">
        <v>0</v>
      </c>
      <c r="Z121">
        <v>-2.72</v>
      </c>
      <c r="AA121">
        <v>-0.08</v>
      </c>
      <c r="AB121">
        <v>-1.26</v>
      </c>
    </row>
    <row r="122" spans="1:28" hidden="1" x14ac:dyDescent="0.2">
      <c r="A122" t="s">
        <v>339</v>
      </c>
      <c r="B122" t="s">
        <v>340</v>
      </c>
      <c r="F122">
        <v>62</v>
      </c>
      <c r="H122">
        <v>0</v>
      </c>
      <c r="I122">
        <v>0</v>
      </c>
      <c r="K122" s="1">
        <v>43316</v>
      </c>
      <c r="L122" t="s">
        <v>43</v>
      </c>
      <c r="M122" t="s">
        <v>47</v>
      </c>
      <c r="N122" s="1">
        <v>44192</v>
      </c>
      <c r="Q122">
        <v>1.98</v>
      </c>
      <c r="R122">
        <v>19.13</v>
      </c>
      <c r="S122">
        <v>17.39</v>
      </c>
      <c r="T122">
        <v>29.59</v>
      </c>
      <c r="U122">
        <v>12.92</v>
      </c>
      <c r="V122">
        <v>6.76</v>
      </c>
      <c r="Y122">
        <v>1.4</v>
      </c>
      <c r="Z122">
        <v>3.79</v>
      </c>
      <c r="AA122">
        <v>9.06</v>
      </c>
      <c r="AB122">
        <v>47.9</v>
      </c>
    </row>
    <row r="123" spans="1:28" hidden="1" x14ac:dyDescent="0.2">
      <c r="A123" t="s">
        <v>341</v>
      </c>
      <c r="B123" t="s">
        <v>342</v>
      </c>
      <c r="L123" t="s">
        <v>213</v>
      </c>
      <c r="M123" t="s">
        <v>214</v>
      </c>
      <c r="N123" s="1">
        <v>44192</v>
      </c>
      <c r="Q123">
        <v>5.65</v>
      </c>
      <c r="R123">
        <v>-1.93</v>
      </c>
      <c r="S123">
        <v>1.71</v>
      </c>
      <c r="T123">
        <v>6.85</v>
      </c>
      <c r="U123">
        <v>6.28</v>
      </c>
      <c r="V123">
        <v>7.24</v>
      </c>
      <c r="Y123">
        <v>0</v>
      </c>
      <c r="Z123">
        <v>9.82</v>
      </c>
      <c r="AA123">
        <v>3.73</v>
      </c>
      <c r="AB123">
        <v>13.56</v>
      </c>
    </row>
    <row r="124" spans="1:28" hidden="1" x14ac:dyDescent="0.2">
      <c r="A124" t="s">
        <v>343</v>
      </c>
      <c r="B124" t="s">
        <v>344</v>
      </c>
      <c r="N124" s="1">
        <v>44194</v>
      </c>
      <c r="R124">
        <v>130.13</v>
      </c>
      <c r="S124">
        <v>12.15</v>
      </c>
      <c r="T124">
        <v>-7.55</v>
      </c>
      <c r="U124">
        <v>2.8</v>
      </c>
      <c r="V124">
        <v>-5.52</v>
      </c>
      <c r="Y124">
        <v>0</v>
      </c>
    </row>
    <row r="125" spans="1:28" hidden="1" x14ac:dyDescent="0.2">
      <c r="A125" t="s">
        <v>345</v>
      </c>
      <c r="B125" t="s">
        <v>346</v>
      </c>
      <c r="N125" s="1">
        <v>44192</v>
      </c>
      <c r="Q125">
        <v>13.21</v>
      </c>
      <c r="R125">
        <v>-29.23</v>
      </c>
      <c r="S125" t="s">
        <v>32</v>
      </c>
      <c r="T125" t="s">
        <v>32</v>
      </c>
      <c r="U125" t="s">
        <v>32</v>
      </c>
      <c r="V125" t="s">
        <v>32</v>
      </c>
      <c r="Y125">
        <v>0</v>
      </c>
    </row>
    <row r="126" spans="1:28" hidden="1" x14ac:dyDescent="0.2">
      <c r="A126" t="s">
        <v>347</v>
      </c>
      <c r="B126" t="s">
        <v>348</v>
      </c>
      <c r="F126">
        <v>50</v>
      </c>
      <c r="H126">
        <v>1</v>
      </c>
      <c r="I126">
        <v>0</v>
      </c>
      <c r="K126" s="1">
        <v>43316</v>
      </c>
      <c r="L126" t="s">
        <v>26</v>
      </c>
      <c r="M126" t="s">
        <v>332</v>
      </c>
      <c r="N126" s="1">
        <v>44192</v>
      </c>
      <c r="O126">
        <v>874</v>
      </c>
      <c r="Q126">
        <v>1.35</v>
      </c>
      <c r="R126">
        <v>-7.99</v>
      </c>
      <c r="S126">
        <v>5.81</v>
      </c>
      <c r="T126">
        <v>11.02</v>
      </c>
      <c r="U126">
        <v>12.43</v>
      </c>
      <c r="V126">
        <v>10.71</v>
      </c>
      <c r="X126">
        <v>1096</v>
      </c>
      <c r="Y126">
        <v>1.7</v>
      </c>
      <c r="Z126">
        <v>4.4800000000000004</v>
      </c>
      <c r="AA126">
        <v>1.45</v>
      </c>
      <c r="AB126">
        <v>3.42</v>
      </c>
    </row>
    <row r="127" spans="1:28" hidden="1" x14ac:dyDescent="0.2">
      <c r="A127" t="s">
        <v>359</v>
      </c>
      <c r="B127" t="s">
        <v>360</v>
      </c>
      <c r="L127" t="s">
        <v>30</v>
      </c>
      <c r="M127" t="s">
        <v>361</v>
      </c>
      <c r="N127" s="1">
        <v>44197</v>
      </c>
      <c r="O127">
        <v>-81</v>
      </c>
      <c r="P127" t="s">
        <v>2403</v>
      </c>
      <c r="Q127" t="s">
        <v>32</v>
      </c>
      <c r="R127">
        <v>25.67</v>
      </c>
      <c r="S127">
        <v>-14.26</v>
      </c>
      <c r="T127">
        <v>-0.49</v>
      </c>
      <c r="U127">
        <v>8.44</v>
      </c>
      <c r="V127">
        <v>5.07</v>
      </c>
      <c r="X127" t="s">
        <v>32</v>
      </c>
      <c r="Y127">
        <v>0</v>
      </c>
      <c r="Z127">
        <v>-1.51</v>
      </c>
      <c r="AA127">
        <v>-1.57</v>
      </c>
      <c r="AB127">
        <v>-5.79</v>
      </c>
    </row>
    <row r="128" spans="1:28" hidden="1" x14ac:dyDescent="0.2">
      <c r="A128" t="s">
        <v>352</v>
      </c>
      <c r="B128" t="s">
        <v>353</v>
      </c>
      <c r="F128">
        <v>56</v>
      </c>
      <c r="H128">
        <v>1</v>
      </c>
      <c r="I128">
        <v>0</v>
      </c>
      <c r="K128" s="1">
        <v>43316</v>
      </c>
      <c r="L128" t="s">
        <v>35</v>
      </c>
      <c r="M128" t="s">
        <v>50</v>
      </c>
      <c r="N128" s="1">
        <v>44192</v>
      </c>
      <c r="Q128">
        <v>4.91</v>
      </c>
      <c r="R128">
        <v>-0.99</v>
      </c>
      <c r="S128">
        <v>-11.33</v>
      </c>
      <c r="T128">
        <v>-2.74</v>
      </c>
      <c r="U128">
        <v>0.14000000000000001</v>
      </c>
      <c r="V128">
        <v>1.28</v>
      </c>
      <c r="Y128">
        <v>0</v>
      </c>
      <c r="Z128">
        <v>14.08</v>
      </c>
      <c r="AA128">
        <v>4.51</v>
      </c>
      <c r="AB128">
        <v>7.83</v>
      </c>
    </row>
    <row r="129" spans="1:28" hidden="1" x14ac:dyDescent="0.2">
      <c r="A129" t="s">
        <v>153</v>
      </c>
      <c r="B129" t="s">
        <v>154</v>
      </c>
      <c r="F129">
        <v>52</v>
      </c>
      <c r="H129">
        <v>1</v>
      </c>
      <c r="I129">
        <v>0</v>
      </c>
      <c r="K129" s="1">
        <v>43316</v>
      </c>
      <c r="L129" t="s">
        <v>35</v>
      </c>
      <c r="M129" t="s">
        <v>155</v>
      </c>
      <c r="N129" s="1">
        <v>44189</v>
      </c>
      <c r="P129">
        <v>32000</v>
      </c>
      <c r="Q129">
        <v>1.54</v>
      </c>
      <c r="R129">
        <v>32.44</v>
      </c>
      <c r="S129">
        <v>26.99</v>
      </c>
      <c r="T129">
        <v>26.19</v>
      </c>
      <c r="U129">
        <v>16.760000000000002</v>
      </c>
      <c r="V129">
        <v>10.64</v>
      </c>
      <c r="Y129">
        <v>0</v>
      </c>
      <c r="Z129">
        <v>11.07</v>
      </c>
      <c r="AA129">
        <v>3.78</v>
      </c>
      <c r="AB129">
        <v>14.6</v>
      </c>
    </row>
    <row r="130" spans="1:28" hidden="1" x14ac:dyDescent="0.2">
      <c r="A130" t="s">
        <v>1195</v>
      </c>
      <c r="B130" t="s">
        <v>1196</v>
      </c>
      <c r="L130" t="s">
        <v>43</v>
      </c>
      <c r="M130" t="s">
        <v>405</v>
      </c>
      <c r="N130" s="1">
        <v>44197</v>
      </c>
      <c r="O130">
        <v>559</v>
      </c>
      <c r="P130" t="s">
        <v>2403</v>
      </c>
      <c r="Q130" t="s">
        <v>32</v>
      </c>
      <c r="R130">
        <v>18.32</v>
      </c>
      <c r="S130">
        <v>-1.43</v>
      </c>
      <c r="T130">
        <v>9.1999999999999993</v>
      </c>
      <c r="U130" t="s">
        <v>32</v>
      </c>
      <c r="V130" t="s">
        <v>32</v>
      </c>
      <c r="X130" t="s">
        <v>32</v>
      </c>
      <c r="Y130">
        <v>0</v>
      </c>
      <c r="Z130">
        <v>4.7699999999999996</v>
      </c>
      <c r="AA130">
        <v>3.37</v>
      </c>
      <c r="AB130">
        <v>30.13</v>
      </c>
    </row>
    <row r="131" spans="1:28" hidden="1" x14ac:dyDescent="0.2">
      <c r="A131" t="s">
        <v>2180</v>
      </c>
      <c r="B131" t="s">
        <v>2181</v>
      </c>
      <c r="F131">
        <v>53</v>
      </c>
      <c r="G131">
        <v>3.4</v>
      </c>
      <c r="H131">
        <v>1</v>
      </c>
      <c r="I131">
        <v>0</v>
      </c>
      <c r="K131" s="1">
        <v>44138</v>
      </c>
      <c r="L131" t="s">
        <v>26</v>
      </c>
      <c r="M131" t="s">
        <v>238</v>
      </c>
      <c r="N131" s="1">
        <v>44193</v>
      </c>
      <c r="Q131">
        <v>1.39</v>
      </c>
      <c r="R131">
        <v>18.52</v>
      </c>
      <c r="S131">
        <v>17.170000000000002</v>
      </c>
      <c r="T131">
        <v>25.17</v>
      </c>
      <c r="U131">
        <v>26.31</v>
      </c>
      <c r="V131">
        <v>12.47</v>
      </c>
      <c r="Y131">
        <v>1.6</v>
      </c>
      <c r="Z131">
        <v>6.66</v>
      </c>
      <c r="AA131">
        <v>9.18</v>
      </c>
      <c r="AB131">
        <v>27.83</v>
      </c>
    </row>
    <row r="132" spans="1:28" hidden="1" x14ac:dyDescent="0.2">
      <c r="A132" t="s">
        <v>362</v>
      </c>
      <c r="B132" t="s">
        <v>363</v>
      </c>
      <c r="L132" t="s">
        <v>35</v>
      </c>
      <c r="M132" t="s">
        <v>132</v>
      </c>
      <c r="N132" s="1">
        <v>44194</v>
      </c>
      <c r="R132">
        <v>-10.38</v>
      </c>
      <c r="S132">
        <v>-15.74</v>
      </c>
      <c r="T132" t="s">
        <v>32</v>
      </c>
      <c r="U132" t="s">
        <v>32</v>
      </c>
      <c r="V132" t="s">
        <v>32</v>
      </c>
      <c r="Y132">
        <v>0</v>
      </c>
      <c r="Z132">
        <v>-12.92</v>
      </c>
      <c r="AA132">
        <v>-0.49</v>
      </c>
      <c r="AB132">
        <v>-6.32</v>
      </c>
    </row>
    <row r="133" spans="1:28" hidden="1" x14ac:dyDescent="0.2">
      <c r="A133" t="s">
        <v>364</v>
      </c>
      <c r="B133" t="s">
        <v>365</v>
      </c>
      <c r="F133">
        <v>37</v>
      </c>
      <c r="H133">
        <v>1</v>
      </c>
      <c r="I133">
        <v>0</v>
      </c>
      <c r="K133" s="1">
        <v>43316</v>
      </c>
      <c r="L133" t="s">
        <v>226</v>
      </c>
      <c r="M133" t="s">
        <v>366</v>
      </c>
    </row>
    <row r="134" spans="1:28" hidden="1" x14ac:dyDescent="0.2">
      <c r="A134" t="s">
        <v>367</v>
      </c>
      <c r="B134" t="s">
        <v>368</v>
      </c>
      <c r="L134" t="s">
        <v>30</v>
      </c>
      <c r="M134" t="s">
        <v>369</v>
      </c>
      <c r="N134" s="1">
        <v>44192</v>
      </c>
      <c r="Q134">
        <v>4.3</v>
      </c>
      <c r="R134">
        <v>24.04</v>
      </c>
      <c r="S134">
        <v>18.36</v>
      </c>
      <c r="T134">
        <v>24.08</v>
      </c>
      <c r="U134">
        <v>-0.09</v>
      </c>
      <c r="V134">
        <v>7.52</v>
      </c>
      <c r="Y134">
        <v>0</v>
      </c>
      <c r="Z134">
        <v>18.53</v>
      </c>
      <c r="AA134">
        <v>7.74</v>
      </c>
      <c r="AB134">
        <v>16.72</v>
      </c>
    </row>
    <row r="135" spans="1:28" hidden="1" x14ac:dyDescent="0.2">
      <c r="A135" t="s">
        <v>370</v>
      </c>
      <c r="B135" t="s">
        <v>371</v>
      </c>
      <c r="J135" t="s">
        <v>68</v>
      </c>
      <c r="L135" t="s">
        <v>95</v>
      </c>
      <c r="M135" t="s">
        <v>232</v>
      </c>
    </row>
    <row r="136" spans="1:28" hidden="1" x14ac:dyDescent="0.2">
      <c r="A136" t="s">
        <v>372</v>
      </c>
      <c r="B136" t="s">
        <v>373</v>
      </c>
      <c r="F136">
        <v>31</v>
      </c>
      <c r="H136">
        <v>1</v>
      </c>
      <c r="I136">
        <v>0</v>
      </c>
      <c r="J136" t="s">
        <v>68</v>
      </c>
      <c r="K136" s="1">
        <v>43316</v>
      </c>
      <c r="L136" t="s">
        <v>26</v>
      </c>
      <c r="M136" t="s">
        <v>202</v>
      </c>
    </row>
    <row r="137" spans="1:28" hidden="1" x14ac:dyDescent="0.2">
      <c r="A137" t="s">
        <v>903</v>
      </c>
      <c r="B137" t="s">
        <v>904</v>
      </c>
      <c r="F137">
        <v>53</v>
      </c>
      <c r="H137">
        <v>1</v>
      </c>
      <c r="I137">
        <v>0</v>
      </c>
      <c r="J137" t="s">
        <v>53</v>
      </c>
      <c r="K137" s="1">
        <v>43316</v>
      </c>
      <c r="L137" t="s">
        <v>39</v>
      </c>
      <c r="M137" t="s">
        <v>900</v>
      </c>
      <c r="N137" s="1">
        <v>44192</v>
      </c>
      <c r="Q137">
        <v>2.02</v>
      </c>
      <c r="R137">
        <v>37.58</v>
      </c>
      <c r="S137">
        <v>24.82</v>
      </c>
      <c r="T137">
        <v>20.99</v>
      </c>
      <c r="U137">
        <v>14.22</v>
      </c>
      <c r="V137">
        <v>12.38</v>
      </c>
      <c r="Y137">
        <v>3.1</v>
      </c>
      <c r="Z137">
        <v>15.12</v>
      </c>
      <c r="AA137">
        <v>21.25</v>
      </c>
      <c r="AB137">
        <v>30.77</v>
      </c>
    </row>
    <row r="138" spans="1:28" hidden="1" x14ac:dyDescent="0.2">
      <c r="A138" t="s">
        <v>354</v>
      </c>
      <c r="B138" t="s">
        <v>355</v>
      </c>
      <c r="F138">
        <v>53</v>
      </c>
      <c r="G138">
        <v>3.9</v>
      </c>
      <c r="H138">
        <v>1</v>
      </c>
      <c r="I138">
        <v>0</v>
      </c>
      <c r="K138" s="1">
        <v>43716</v>
      </c>
      <c r="L138" t="s">
        <v>113</v>
      </c>
      <c r="M138" t="s">
        <v>356</v>
      </c>
      <c r="N138" s="1">
        <v>44192</v>
      </c>
      <c r="Q138">
        <v>3.07</v>
      </c>
      <c r="R138">
        <v>71.23</v>
      </c>
      <c r="S138">
        <v>34.44</v>
      </c>
      <c r="T138">
        <v>26.61</v>
      </c>
      <c r="U138">
        <v>16.190000000000001</v>
      </c>
      <c r="V138" t="s">
        <v>32</v>
      </c>
      <c r="Y138">
        <v>0</v>
      </c>
      <c r="Z138">
        <v>-4.24</v>
      </c>
      <c r="AA138">
        <v>-0.31</v>
      </c>
      <c r="AB138">
        <v>-2.63</v>
      </c>
    </row>
    <row r="139" spans="1:28" hidden="1" x14ac:dyDescent="0.2">
      <c r="A139" s="4" t="s">
        <v>2318</v>
      </c>
      <c r="B139" t="s">
        <v>2319</v>
      </c>
      <c r="F139">
        <v>78</v>
      </c>
      <c r="G139">
        <v>4.0999999999999996</v>
      </c>
      <c r="J139" t="s">
        <v>53</v>
      </c>
      <c r="N139" s="1">
        <v>44197</v>
      </c>
      <c r="O139">
        <v>-402</v>
      </c>
      <c r="P139" t="s">
        <v>2403</v>
      </c>
      <c r="Q139" t="s">
        <v>32</v>
      </c>
      <c r="R139">
        <v>244.42</v>
      </c>
      <c r="S139">
        <v>142.97</v>
      </c>
      <c r="T139" t="s">
        <v>32</v>
      </c>
      <c r="U139" t="s">
        <v>32</v>
      </c>
      <c r="V139" t="s">
        <v>32</v>
      </c>
      <c r="X139">
        <v>482</v>
      </c>
      <c r="Y139">
        <v>34.299999999999997</v>
      </c>
      <c r="Z139">
        <v>-26.01</v>
      </c>
      <c r="AA139">
        <v>-6.79</v>
      </c>
      <c r="AB139">
        <v>-8</v>
      </c>
    </row>
    <row r="140" spans="1:28" hidden="1" x14ac:dyDescent="0.2">
      <c r="A140" t="s">
        <v>380</v>
      </c>
      <c r="B140" t="s">
        <v>381</v>
      </c>
      <c r="J140" t="s">
        <v>68</v>
      </c>
      <c r="L140" t="s">
        <v>43</v>
      </c>
      <c r="M140" t="s">
        <v>47</v>
      </c>
    </row>
    <row r="141" spans="1:28" hidden="1" x14ac:dyDescent="0.2">
      <c r="A141" t="s">
        <v>382</v>
      </c>
      <c r="B141" t="s">
        <v>383</v>
      </c>
      <c r="F141">
        <v>47</v>
      </c>
      <c r="H141">
        <v>1</v>
      </c>
      <c r="I141">
        <v>0</v>
      </c>
      <c r="K141" s="1">
        <v>43316</v>
      </c>
      <c r="L141" t="s">
        <v>35</v>
      </c>
      <c r="M141" t="s">
        <v>50</v>
      </c>
      <c r="N141" s="1">
        <v>44192</v>
      </c>
      <c r="Q141">
        <v>3.17</v>
      </c>
      <c r="R141">
        <v>-16.03</v>
      </c>
      <c r="S141">
        <v>-6.25</v>
      </c>
      <c r="T141">
        <v>2.25</v>
      </c>
      <c r="U141">
        <v>5</v>
      </c>
      <c r="V141">
        <v>3.28</v>
      </c>
      <c r="Y141">
        <v>4.4000000000000004</v>
      </c>
      <c r="Z141">
        <v>26.1</v>
      </c>
      <c r="AA141">
        <v>1.02</v>
      </c>
      <c r="AB141">
        <v>10.52</v>
      </c>
    </row>
    <row r="142" spans="1:28" hidden="1" x14ac:dyDescent="0.2">
      <c r="A142" t="s">
        <v>384</v>
      </c>
      <c r="B142" t="s">
        <v>385</v>
      </c>
      <c r="F142">
        <v>58</v>
      </c>
      <c r="H142">
        <v>1</v>
      </c>
      <c r="I142">
        <v>0</v>
      </c>
      <c r="K142" s="1">
        <v>43316</v>
      </c>
      <c r="L142" t="s">
        <v>226</v>
      </c>
      <c r="M142" t="s">
        <v>386</v>
      </c>
      <c r="N142" s="1">
        <v>44192</v>
      </c>
      <c r="Q142">
        <v>9.4700000000000006</v>
      </c>
      <c r="R142">
        <v>96.21</v>
      </c>
      <c r="S142">
        <v>-17.36</v>
      </c>
      <c r="T142">
        <v>-5.23</v>
      </c>
      <c r="U142">
        <v>-2.09</v>
      </c>
      <c r="V142" t="s">
        <v>32</v>
      </c>
      <c r="Y142">
        <v>0</v>
      </c>
    </row>
    <row r="143" spans="1:28" hidden="1" x14ac:dyDescent="0.2">
      <c r="A143" t="s">
        <v>792</v>
      </c>
      <c r="B143" t="s">
        <v>793</v>
      </c>
      <c r="F143">
        <v>54</v>
      </c>
      <c r="I143">
        <v>0</v>
      </c>
      <c r="K143" s="1">
        <v>43316</v>
      </c>
      <c r="L143" t="s">
        <v>99</v>
      </c>
      <c r="M143" t="s">
        <v>561</v>
      </c>
      <c r="N143" s="1">
        <v>44192</v>
      </c>
      <c r="Q143">
        <v>0.8</v>
      </c>
      <c r="R143">
        <v>27.74</v>
      </c>
      <c r="S143">
        <v>27.66</v>
      </c>
      <c r="T143">
        <v>24.76</v>
      </c>
      <c r="U143">
        <v>21.15</v>
      </c>
      <c r="V143">
        <v>20.52</v>
      </c>
      <c r="Y143">
        <v>3.9</v>
      </c>
      <c r="Z143">
        <v>4.38</v>
      </c>
      <c r="AA143">
        <v>3.67</v>
      </c>
      <c r="AB143">
        <v>13.63</v>
      </c>
    </row>
    <row r="144" spans="1:28" hidden="1" x14ac:dyDescent="0.2">
      <c r="A144" t="s">
        <v>1060</v>
      </c>
      <c r="B144" t="s">
        <v>1061</v>
      </c>
      <c r="L144" t="s">
        <v>43</v>
      </c>
      <c r="M144" t="s">
        <v>507</v>
      </c>
      <c r="N144" s="1">
        <v>44197</v>
      </c>
      <c r="O144">
        <v>1395</v>
      </c>
      <c r="P144" t="s">
        <v>2403</v>
      </c>
      <c r="Q144" t="s">
        <v>32</v>
      </c>
      <c r="R144">
        <v>8.4499999999999993</v>
      </c>
      <c r="S144">
        <v>8.6199999999999992</v>
      </c>
      <c r="T144">
        <v>11.8</v>
      </c>
      <c r="U144">
        <v>18.75</v>
      </c>
      <c r="V144">
        <v>35.92</v>
      </c>
      <c r="X144" t="s">
        <v>32</v>
      </c>
      <c r="Y144">
        <v>10</v>
      </c>
      <c r="Z144">
        <v>15.68</v>
      </c>
      <c r="AA144">
        <v>6.4</v>
      </c>
      <c r="AB144">
        <v>25.68</v>
      </c>
    </row>
    <row r="145" spans="1:28" hidden="1" x14ac:dyDescent="0.2">
      <c r="A145" t="s">
        <v>550</v>
      </c>
      <c r="B145" t="s">
        <v>551</v>
      </c>
      <c r="F145">
        <v>54</v>
      </c>
      <c r="H145">
        <v>1</v>
      </c>
      <c r="I145">
        <v>0</v>
      </c>
      <c r="K145" s="1">
        <v>43316</v>
      </c>
      <c r="L145" t="s">
        <v>26</v>
      </c>
      <c r="M145" t="s">
        <v>27</v>
      </c>
      <c r="N145" s="1">
        <v>44197</v>
      </c>
      <c r="O145">
        <v>497</v>
      </c>
      <c r="P145" t="s">
        <v>2403</v>
      </c>
      <c r="Q145" t="s">
        <v>32</v>
      </c>
      <c r="R145">
        <v>91.43</v>
      </c>
      <c r="S145">
        <v>47.31</v>
      </c>
      <c r="T145">
        <v>46.96</v>
      </c>
      <c r="U145">
        <v>30.61</v>
      </c>
      <c r="V145">
        <v>24.81</v>
      </c>
      <c r="X145">
        <v>138</v>
      </c>
      <c r="Y145">
        <v>6.1</v>
      </c>
      <c r="Z145">
        <v>19.2</v>
      </c>
      <c r="AA145">
        <v>26.19</v>
      </c>
      <c r="AB145">
        <v>154.74</v>
      </c>
    </row>
    <row r="146" spans="1:28" hidden="1" x14ac:dyDescent="0.2">
      <c r="A146" t="s">
        <v>393</v>
      </c>
      <c r="B146" t="s">
        <v>394</v>
      </c>
      <c r="F146">
        <v>35</v>
      </c>
      <c r="G146">
        <v>2.9</v>
      </c>
      <c r="K146" s="1">
        <v>43716</v>
      </c>
      <c r="L146" t="s">
        <v>35</v>
      </c>
      <c r="M146" t="s">
        <v>235</v>
      </c>
      <c r="N146" s="1">
        <v>44192</v>
      </c>
      <c r="Q146">
        <v>3.16</v>
      </c>
      <c r="R146">
        <v>-4.8600000000000003</v>
      </c>
      <c r="S146">
        <v>-3.52</v>
      </c>
      <c r="T146">
        <v>0.95</v>
      </c>
      <c r="U146" t="s">
        <v>32</v>
      </c>
      <c r="V146" t="s">
        <v>32</v>
      </c>
      <c r="Y146">
        <v>0</v>
      </c>
      <c r="Z146">
        <v>21.9</v>
      </c>
      <c r="AA146">
        <v>0.56999999999999995</v>
      </c>
      <c r="AB146">
        <v>6.67</v>
      </c>
    </row>
    <row r="147" spans="1:28" hidden="1" x14ac:dyDescent="0.2">
      <c r="A147" t="s">
        <v>1017</v>
      </c>
      <c r="B147" t="s">
        <v>1018</v>
      </c>
      <c r="F147">
        <v>55</v>
      </c>
      <c r="H147">
        <v>1</v>
      </c>
      <c r="I147">
        <v>0</v>
      </c>
      <c r="K147" s="1">
        <v>43316</v>
      </c>
      <c r="L147" t="s">
        <v>39</v>
      </c>
      <c r="M147" t="s">
        <v>329</v>
      </c>
      <c r="N147" s="1">
        <v>44193</v>
      </c>
      <c r="Q147">
        <v>0.4</v>
      </c>
      <c r="R147">
        <v>12.85</v>
      </c>
      <c r="S147">
        <v>27.21</v>
      </c>
      <c r="T147">
        <v>25.84</v>
      </c>
      <c r="U147">
        <v>24.61</v>
      </c>
      <c r="V147">
        <v>15.47</v>
      </c>
      <c r="Y147">
        <v>0.9</v>
      </c>
      <c r="Z147">
        <v>6.75</v>
      </c>
      <c r="AA147">
        <v>1.1200000000000001</v>
      </c>
      <c r="AB147">
        <v>1.82</v>
      </c>
    </row>
    <row r="148" spans="1:28" hidden="1" x14ac:dyDescent="0.2">
      <c r="A148" t="s">
        <v>602</v>
      </c>
      <c r="B148" t="s">
        <v>603</v>
      </c>
      <c r="F148">
        <v>55</v>
      </c>
      <c r="G148">
        <v>3.5</v>
      </c>
      <c r="K148" s="1">
        <v>43716</v>
      </c>
      <c r="L148" t="s">
        <v>26</v>
      </c>
      <c r="M148" t="s">
        <v>27</v>
      </c>
      <c r="N148" s="1">
        <v>44197</v>
      </c>
      <c r="O148">
        <v>176</v>
      </c>
      <c r="P148" t="s">
        <v>2403</v>
      </c>
      <c r="Q148" t="s">
        <v>32</v>
      </c>
      <c r="R148">
        <v>15.96</v>
      </c>
      <c r="S148">
        <v>22.32</v>
      </c>
      <c r="T148">
        <v>21.15</v>
      </c>
      <c r="U148" t="s">
        <v>32</v>
      </c>
      <c r="V148" t="s">
        <v>32</v>
      </c>
      <c r="X148" t="s">
        <v>32</v>
      </c>
      <c r="Y148">
        <v>1.3</v>
      </c>
      <c r="Z148">
        <v>1.61</v>
      </c>
      <c r="AA148">
        <v>0.75</v>
      </c>
      <c r="AB148">
        <v>2.94</v>
      </c>
    </row>
    <row r="149" spans="1:28" hidden="1" x14ac:dyDescent="0.2">
      <c r="A149" t="s">
        <v>374</v>
      </c>
      <c r="B149" t="s">
        <v>375</v>
      </c>
      <c r="L149" t="s">
        <v>30</v>
      </c>
      <c r="M149" t="s">
        <v>361</v>
      </c>
      <c r="N149" s="1">
        <v>44197</v>
      </c>
      <c r="O149">
        <v>215</v>
      </c>
      <c r="P149" t="s">
        <v>2403</v>
      </c>
      <c r="Q149" t="s">
        <v>32</v>
      </c>
      <c r="R149">
        <v>60.61</v>
      </c>
      <c r="S149">
        <v>23.26</v>
      </c>
      <c r="T149">
        <v>29.79</v>
      </c>
      <c r="U149">
        <v>35.4</v>
      </c>
      <c r="V149">
        <v>5.0199999999999996</v>
      </c>
      <c r="X149" t="s">
        <v>32</v>
      </c>
      <c r="Y149">
        <v>0</v>
      </c>
      <c r="Z149">
        <v>2.76</v>
      </c>
      <c r="AA149">
        <v>5.88</v>
      </c>
      <c r="AB149">
        <v>24.06</v>
      </c>
    </row>
    <row r="150" spans="1:28" hidden="1" x14ac:dyDescent="0.2">
      <c r="A150" t="s">
        <v>968</v>
      </c>
      <c r="B150" t="s">
        <v>969</v>
      </c>
      <c r="F150">
        <v>55</v>
      </c>
      <c r="H150">
        <v>1</v>
      </c>
      <c r="I150">
        <v>0</v>
      </c>
      <c r="K150" s="1">
        <v>43316</v>
      </c>
      <c r="L150" t="s">
        <v>95</v>
      </c>
      <c r="M150" t="s">
        <v>232</v>
      </c>
      <c r="N150" s="1">
        <v>44194</v>
      </c>
      <c r="R150">
        <v>21.37</v>
      </c>
      <c r="S150">
        <v>18.309999999999999</v>
      </c>
      <c r="T150">
        <v>20.29</v>
      </c>
      <c r="U150" t="s">
        <v>32</v>
      </c>
      <c r="V150" t="s">
        <v>32</v>
      </c>
      <c r="Y150">
        <v>0</v>
      </c>
      <c r="Z150">
        <v>-15.67</v>
      </c>
      <c r="AA150">
        <v>-8.16</v>
      </c>
      <c r="AB150">
        <v>-200.56</v>
      </c>
    </row>
    <row r="151" spans="1:28" hidden="1" x14ac:dyDescent="0.2">
      <c r="A151" s="2" t="s">
        <v>2324</v>
      </c>
      <c r="B151" t="s">
        <v>2325</v>
      </c>
      <c r="F151">
        <v>55</v>
      </c>
      <c r="G151">
        <v>3.2</v>
      </c>
      <c r="J151" t="s">
        <v>53</v>
      </c>
      <c r="K151" s="1">
        <v>44138</v>
      </c>
      <c r="N151" s="1">
        <v>44193</v>
      </c>
      <c r="O151">
        <v>439</v>
      </c>
      <c r="Q151">
        <v>0.56000000000000005</v>
      </c>
      <c r="R151">
        <v>46.09</v>
      </c>
      <c r="S151">
        <v>57.3</v>
      </c>
      <c r="T151">
        <v>53.88</v>
      </c>
      <c r="U151" t="s">
        <v>32</v>
      </c>
      <c r="V151" t="s">
        <v>32</v>
      </c>
      <c r="X151">
        <v>95</v>
      </c>
      <c r="Y151">
        <v>0</v>
      </c>
    </row>
    <row r="152" spans="1:28" hidden="1" x14ac:dyDescent="0.2">
      <c r="A152" t="s">
        <v>406</v>
      </c>
      <c r="B152" t="s">
        <v>407</v>
      </c>
      <c r="H152">
        <v>1</v>
      </c>
      <c r="I152">
        <v>0</v>
      </c>
      <c r="K152" s="1">
        <v>43316</v>
      </c>
      <c r="L152" t="s">
        <v>43</v>
      </c>
      <c r="M152" t="s">
        <v>264</v>
      </c>
      <c r="N152" s="1">
        <v>44192</v>
      </c>
      <c r="Q152">
        <v>1.71</v>
      </c>
      <c r="R152">
        <v>-13.15</v>
      </c>
      <c r="S152">
        <v>-1.98</v>
      </c>
      <c r="T152">
        <v>3.7</v>
      </c>
      <c r="U152" t="s">
        <v>32</v>
      </c>
      <c r="V152" t="s">
        <v>32</v>
      </c>
      <c r="Y152">
        <v>0</v>
      </c>
      <c r="Z152">
        <v>-3.55</v>
      </c>
      <c r="AA152">
        <v>-3.51</v>
      </c>
      <c r="AB152">
        <v>-160.62</v>
      </c>
    </row>
    <row r="153" spans="1:28" hidden="1" x14ac:dyDescent="0.2">
      <c r="A153" t="s">
        <v>1131</v>
      </c>
      <c r="B153" t="s">
        <v>1132</v>
      </c>
      <c r="F153">
        <v>56</v>
      </c>
      <c r="H153">
        <v>1</v>
      </c>
      <c r="I153">
        <v>0</v>
      </c>
      <c r="K153" s="1">
        <v>43316</v>
      </c>
      <c r="L153" t="s">
        <v>35</v>
      </c>
      <c r="M153" t="s">
        <v>580</v>
      </c>
      <c r="N153" s="1">
        <v>44193</v>
      </c>
      <c r="Q153">
        <v>1.1100000000000001</v>
      </c>
      <c r="R153">
        <v>23.54</v>
      </c>
      <c r="S153">
        <v>18.18</v>
      </c>
      <c r="T153">
        <v>18.440000000000001</v>
      </c>
      <c r="U153">
        <v>17.329999999999998</v>
      </c>
      <c r="V153">
        <v>20.94</v>
      </c>
      <c r="Y153">
        <v>2</v>
      </c>
      <c r="Z153">
        <v>26.19</v>
      </c>
      <c r="AA153">
        <v>1.8</v>
      </c>
      <c r="AB153">
        <v>11.12</v>
      </c>
    </row>
    <row r="154" spans="1:28" hidden="1" x14ac:dyDescent="0.2">
      <c r="A154" t="s">
        <v>411</v>
      </c>
      <c r="B154" t="s">
        <v>412</v>
      </c>
      <c r="L154" t="s">
        <v>35</v>
      </c>
      <c r="M154" t="s">
        <v>326</v>
      </c>
      <c r="N154" s="1">
        <v>44192</v>
      </c>
      <c r="Q154">
        <v>4.37</v>
      </c>
      <c r="R154">
        <v>2.9</v>
      </c>
      <c r="S154">
        <v>2.4</v>
      </c>
      <c r="T154">
        <v>9.73</v>
      </c>
      <c r="U154">
        <v>6.34</v>
      </c>
      <c r="V154">
        <v>5.07</v>
      </c>
      <c r="Y154">
        <v>0</v>
      </c>
      <c r="Z154">
        <v>19.38</v>
      </c>
      <c r="AA154">
        <v>0.54</v>
      </c>
      <c r="AB154">
        <v>10.130000000000001</v>
      </c>
    </row>
    <row r="155" spans="1:28" hidden="1" x14ac:dyDescent="0.2">
      <c r="A155" t="s">
        <v>413</v>
      </c>
      <c r="B155" t="s">
        <v>413</v>
      </c>
      <c r="H155">
        <v>1</v>
      </c>
      <c r="I155">
        <v>0</v>
      </c>
      <c r="N155" s="1">
        <v>44192</v>
      </c>
      <c r="R155">
        <v>3.67</v>
      </c>
      <c r="S155">
        <v>-1.57</v>
      </c>
      <c r="T155">
        <v>-1.77</v>
      </c>
      <c r="U155">
        <v>4.87</v>
      </c>
      <c r="V155">
        <v>7.24</v>
      </c>
      <c r="Y155">
        <v>0.5</v>
      </c>
      <c r="Z155">
        <v>3.61</v>
      </c>
      <c r="AA155">
        <v>1.56</v>
      </c>
      <c r="AB155">
        <v>5.95</v>
      </c>
    </row>
    <row r="156" spans="1:28" hidden="1" x14ac:dyDescent="0.2">
      <c r="A156" t="s">
        <v>414</v>
      </c>
      <c r="B156" t="s">
        <v>415</v>
      </c>
      <c r="F156">
        <v>53</v>
      </c>
      <c r="H156">
        <v>1</v>
      </c>
      <c r="I156">
        <v>0</v>
      </c>
      <c r="K156" s="1">
        <v>43316</v>
      </c>
      <c r="L156" t="s">
        <v>26</v>
      </c>
      <c r="M156" t="s">
        <v>202</v>
      </c>
      <c r="N156" s="1">
        <v>44192</v>
      </c>
      <c r="Q156">
        <v>2.88</v>
      </c>
      <c r="R156">
        <v>-0.33</v>
      </c>
      <c r="S156">
        <v>2.78</v>
      </c>
      <c r="T156">
        <v>0.09</v>
      </c>
      <c r="U156">
        <v>11.23</v>
      </c>
      <c r="V156">
        <v>8.89</v>
      </c>
      <c r="Y156">
        <v>0.8</v>
      </c>
      <c r="Z156">
        <v>-0.11</v>
      </c>
      <c r="AA156">
        <v>-0.05</v>
      </c>
      <c r="AB156">
        <v>-0.13</v>
      </c>
    </row>
    <row r="157" spans="1:28" hidden="1" x14ac:dyDescent="0.2">
      <c r="A157" t="s">
        <v>416</v>
      </c>
      <c r="B157" t="s">
        <v>417</v>
      </c>
      <c r="N157" s="1">
        <v>44194</v>
      </c>
      <c r="R157">
        <v>-18.13</v>
      </c>
      <c r="S157" t="s">
        <v>32</v>
      </c>
      <c r="T157" t="s">
        <v>32</v>
      </c>
      <c r="U157" t="s">
        <v>32</v>
      </c>
      <c r="V157" t="s">
        <v>32</v>
      </c>
      <c r="Y157">
        <v>0</v>
      </c>
    </row>
    <row r="158" spans="1:28" hidden="1" x14ac:dyDescent="0.2">
      <c r="A158" t="s">
        <v>418</v>
      </c>
      <c r="B158" t="s">
        <v>419</v>
      </c>
      <c r="F158">
        <v>66</v>
      </c>
      <c r="H158">
        <v>1</v>
      </c>
      <c r="I158">
        <v>0</v>
      </c>
      <c r="J158" t="s">
        <v>68</v>
      </c>
      <c r="K158" s="1">
        <v>43316</v>
      </c>
      <c r="L158" t="s">
        <v>43</v>
      </c>
      <c r="M158" t="s">
        <v>169</v>
      </c>
    </row>
    <row r="159" spans="1:28" hidden="1" x14ac:dyDescent="0.2">
      <c r="A159" t="s">
        <v>420</v>
      </c>
      <c r="B159" t="s">
        <v>421</v>
      </c>
      <c r="F159">
        <v>49</v>
      </c>
      <c r="H159">
        <v>1</v>
      </c>
      <c r="I159">
        <v>0</v>
      </c>
      <c r="K159" s="1">
        <v>43316</v>
      </c>
      <c r="L159" t="s">
        <v>226</v>
      </c>
      <c r="M159" t="s">
        <v>386</v>
      </c>
    </row>
    <row r="160" spans="1:28" hidden="1" x14ac:dyDescent="0.2">
      <c r="A160" t="s">
        <v>276</v>
      </c>
      <c r="B160" t="s">
        <v>277</v>
      </c>
      <c r="J160" t="s">
        <v>68</v>
      </c>
      <c r="L160" t="s">
        <v>26</v>
      </c>
      <c r="M160" t="s">
        <v>275</v>
      </c>
      <c r="N160" s="1">
        <v>44194</v>
      </c>
      <c r="O160">
        <v>333</v>
      </c>
      <c r="R160">
        <v>50.67</v>
      </c>
      <c r="S160">
        <v>16.57</v>
      </c>
      <c r="T160">
        <v>38.450000000000003</v>
      </c>
      <c r="U160" t="s">
        <v>32</v>
      </c>
      <c r="V160" t="s">
        <v>32</v>
      </c>
      <c r="X160">
        <v>338</v>
      </c>
      <c r="Y160">
        <v>0</v>
      </c>
      <c r="Z160">
        <v>41.08</v>
      </c>
      <c r="AA160">
        <v>29.02</v>
      </c>
      <c r="AB160">
        <v>36.29</v>
      </c>
    </row>
    <row r="161" spans="1:28" hidden="1" x14ac:dyDescent="0.2">
      <c r="A161" t="s">
        <v>1669</v>
      </c>
      <c r="B161" t="s">
        <v>1670</v>
      </c>
      <c r="N161" s="1">
        <v>44197</v>
      </c>
      <c r="O161">
        <v>-11</v>
      </c>
      <c r="P161" t="s">
        <v>2403</v>
      </c>
      <c r="Q161" t="s">
        <v>32</v>
      </c>
      <c r="R161">
        <v>-56.2</v>
      </c>
      <c r="S161">
        <v>-55.79</v>
      </c>
      <c r="T161">
        <v>-57.42</v>
      </c>
      <c r="U161">
        <v>-25.93</v>
      </c>
      <c r="V161" t="s">
        <v>32</v>
      </c>
      <c r="X161">
        <v>6</v>
      </c>
      <c r="Y161">
        <v>0</v>
      </c>
      <c r="Z161" t="s">
        <v>2403</v>
      </c>
      <c r="AA161" t="s">
        <v>2403</v>
      </c>
      <c r="AB161" t="s">
        <v>2403</v>
      </c>
    </row>
    <row r="162" spans="1:28" hidden="1" x14ac:dyDescent="0.2">
      <c r="A162" t="s">
        <v>948</v>
      </c>
      <c r="B162" t="s">
        <v>432</v>
      </c>
      <c r="F162">
        <v>44</v>
      </c>
      <c r="G162">
        <v>3.1</v>
      </c>
      <c r="H162">
        <v>1</v>
      </c>
      <c r="I162">
        <v>0</v>
      </c>
      <c r="J162" t="s">
        <v>53</v>
      </c>
      <c r="K162" s="1">
        <v>43716</v>
      </c>
      <c r="L162" t="s">
        <v>35</v>
      </c>
      <c r="M162" t="s">
        <v>144</v>
      </c>
      <c r="N162" s="1">
        <v>44197</v>
      </c>
      <c r="O162">
        <v>35845</v>
      </c>
      <c r="P162" t="s">
        <v>2403</v>
      </c>
      <c r="Q162" t="s">
        <v>32</v>
      </c>
      <c r="R162">
        <v>2.42</v>
      </c>
      <c r="S162">
        <v>5.33</v>
      </c>
      <c r="T162">
        <v>11.95</v>
      </c>
      <c r="U162">
        <v>11.19</v>
      </c>
      <c r="V162">
        <v>9.5399999999999991</v>
      </c>
      <c r="X162" t="s">
        <v>32</v>
      </c>
      <c r="Y162">
        <v>0</v>
      </c>
      <c r="Z162">
        <v>12.84</v>
      </c>
      <c r="AA162">
        <v>4.43</v>
      </c>
      <c r="AB162">
        <v>8.82</v>
      </c>
    </row>
    <row r="163" spans="1:28" hidden="1" x14ac:dyDescent="0.2">
      <c r="A163" t="s">
        <v>431</v>
      </c>
      <c r="B163" t="s">
        <v>432</v>
      </c>
      <c r="F163">
        <v>44</v>
      </c>
      <c r="G163">
        <v>3.1</v>
      </c>
      <c r="H163">
        <v>1</v>
      </c>
      <c r="I163">
        <v>0</v>
      </c>
      <c r="J163" t="s">
        <v>53</v>
      </c>
      <c r="K163" s="1">
        <v>43716</v>
      </c>
      <c r="L163" t="s">
        <v>35</v>
      </c>
      <c r="M163" t="s">
        <v>144</v>
      </c>
      <c r="N163" s="1">
        <v>44194</v>
      </c>
      <c r="R163">
        <v>1</v>
      </c>
      <c r="S163">
        <v>4.5999999999999996</v>
      </c>
      <c r="T163">
        <v>11.4</v>
      </c>
      <c r="U163">
        <v>11.06</v>
      </c>
      <c r="V163">
        <v>9.48</v>
      </c>
      <c r="Y163">
        <v>0</v>
      </c>
      <c r="Z163">
        <v>12.84</v>
      </c>
      <c r="AA163">
        <v>4.43</v>
      </c>
      <c r="AB163">
        <v>8.82</v>
      </c>
    </row>
    <row r="164" spans="1:28" hidden="1" x14ac:dyDescent="0.2">
      <c r="A164" t="s">
        <v>433</v>
      </c>
      <c r="B164" t="s">
        <v>434</v>
      </c>
      <c r="F164">
        <v>37</v>
      </c>
      <c r="H164">
        <v>1</v>
      </c>
      <c r="I164">
        <v>0</v>
      </c>
      <c r="K164" s="1">
        <v>43316</v>
      </c>
      <c r="L164" t="s">
        <v>43</v>
      </c>
      <c r="M164" t="s">
        <v>435</v>
      </c>
      <c r="N164" s="1">
        <v>44192</v>
      </c>
      <c r="Q164">
        <v>3.69</v>
      </c>
      <c r="R164">
        <v>22.71</v>
      </c>
      <c r="S164">
        <v>-17.79</v>
      </c>
      <c r="T164">
        <v>-0.53</v>
      </c>
      <c r="U164">
        <v>20.47</v>
      </c>
      <c r="V164">
        <v>3.52</v>
      </c>
      <c r="Y164">
        <v>0.9</v>
      </c>
      <c r="Z164">
        <v>-5.8</v>
      </c>
      <c r="AA164">
        <v>-6.6</v>
      </c>
      <c r="AB164">
        <v>-13.1</v>
      </c>
    </row>
    <row r="165" spans="1:28" hidden="1" x14ac:dyDescent="0.2">
      <c r="A165" t="s">
        <v>436</v>
      </c>
      <c r="B165" t="s">
        <v>437</v>
      </c>
      <c r="N165" s="1">
        <v>44192</v>
      </c>
      <c r="Q165">
        <v>1.24</v>
      </c>
      <c r="R165">
        <v>89.59</v>
      </c>
      <c r="S165">
        <v>5.78</v>
      </c>
      <c r="T165">
        <v>6.12</v>
      </c>
      <c r="U165" t="s">
        <v>32</v>
      </c>
      <c r="V165" t="s">
        <v>32</v>
      </c>
      <c r="Y165">
        <v>0</v>
      </c>
      <c r="Z165">
        <v>20.95</v>
      </c>
      <c r="AA165">
        <v>10.98</v>
      </c>
      <c r="AB165">
        <v>223.25</v>
      </c>
    </row>
    <row r="166" spans="1:28" hidden="1" x14ac:dyDescent="0.2">
      <c r="A166" t="s">
        <v>438</v>
      </c>
      <c r="B166" t="s">
        <v>439</v>
      </c>
      <c r="F166">
        <v>75</v>
      </c>
      <c r="H166">
        <v>1</v>
      </c>
      <c r="I166">
        <v>0</v>
      </c>
      <c r="K166" s="1">
        <v>43316</v>
      </c>
      <c r="L166" t="s">
        <v>26</v>
      </c>
      <c r="M166" t="s">
        <v>77</v>
      </c>
      <c r="N166" s="1">
        <v>44194</v>
      </c>
      <c r="O166">
        <v>3704</v>
      </c>
      <c r="R166">
        <v>-22.78</v>
      </c>
      <c r="S166">
        <v>11.5</v>
      </c>
      <c r="T166">
        <v>13.27</v>
      </c>
      <c r="U166">
        <v>16.14</v>
      </c>
      <c r="V166">
        <v>2.31</v>
      </c>
      <c r="X166">
        <v>1165</v>
      </c>
      <c r="Y166">
        <v>2.7</v>
      </c>
      <c r="Z166">
        <v>36.46</v>
      </c>
      <c r="AA166">
        <v>12.79</v>
      </c>
      <c r="AB166">
        <v>29.17</v>
      </c>
    </row>
    <row r="167" spans="1:28" hidden="1" x14ac:dyDescent="0.2">
      <c r="A167" t="s">
        <v>440</v>
      </c>
      <c r="B167" t="s">
        <v>441</v>
      </c>
      <c r="L167" t="s">
        <v>30</v>
      </c>
      <c r="M167" t="s">
        <v>261</v>
      </c>
      <c r="N167" s="1">
        <v>44192</v>
      </c>
      <c r="Q167">
        <v>10.74</v>
      </c>
      <c r="R167">
        <v>-81.22</v>
      </c>
      <c r="S167">
        <v>-50.67</v>
      </c>
      <c r="T167" t="s">
        <v>32</v>
      </c>
      <c r="U167" t="s">
        <v>32</v>
      </c>
      <c r="V167" t="s">
        <v>32</v>
      </c>
      <c r="Y167">
        <v>0</v>
      </c>
      <c r="Z167">
        <v>-62.27</v>
      </c>
      <c r="AA167">
        <v>-34.86</v>
      </c>
      <c r="AB167">
        <v>-101.79</v>
      </c>
    </row>
    <row r="168" spans="1:28" hidden="1" x14ac:dyDescent="0.2">
      <c r="A168" t="s">
        <v>442</v>
      </c>
      <c r="B168" t="s">
        <v>443</v>
      </c>
      <c r="F168">
        <v>54</v>
      </c>
      <c r="H168">
        <v>0</v>
      </c>
      <c r="I168">
        <v>0</v>
      </c>
      <c r="J168" t="s">
        <v>68</v>
      </c>
      <c r="K168" s="1">
        <v>43316</v>
      </c>
      <c r="L168" t="s">
        <v>99</v>
      </c>
      <c r="M168" t="s">
        <v>251</v>
      </c>
      <c r="N168" s="1">
        <v>44192</v>
      </c>
      <c r="Q168">
        <v>2.1800000000000002</v>
      </c>
      <c r="R168">
        <v>-12.86</v>
      </c>
      <c r="S168">
        <v>-11.85</v>
      </c>
      <c r="T168">
        <v>-7.65</v>
      </c>
      <c r="U168">
        <v>5.46</v>
      </c>
      <c r="V168" t="s">
        <v>32</v>
      </c>
      <c r="Y168">
        <v>7.2</v>
      </c>
      <c r="Z168">
        <v>2.54</v>
      </c>
      <c r="AA168">
        <v>0.53</v>
      </c>
      <c r="AB168">
        <v>1.87</v>
      </c>
    </row>
    <row r="169" spans="1:28" hidden="1" x14ac:dyDescent="0.2">
      <c r="A169" t="s">
        <v>444</v>
      </c>
      <c r="B169" t="s">
        <v>445</v>
      </c>
      <c r="N169" s="1">
        <v>44192</v>
      </c>
      <c r="Q169">
        <v>0.64</v>
      </c>
      <c r="R169">
        <v>-18.739999999999998</v>
      </c>
      <c r="S169">
        <v>2.1</v>
      </c>
      <c r="T169">
        <v>7.59</v>
      </c>
      <c r="U169">
        <v>4.66</v>
      </c>
      <c r="V169" t="s">
        <v>32</v>
      </c>
      <c r="Y169">
        <v>1.2</v>
      </c>
      <c r="Z169">
        <v>0.93</v>
      </c>
      <c r="AA169">
        <v>0.61</v>
      </c>
      <c r="AB169">
        <v>1.63</v>
      </c>
    </row>
    <row r="170" spans="1:28" hidden="1" x14ac:dyDescent="0.2">
      <c r="A170" s="4" t="s">
        <v>1659</v>
      </c>
      <c r="B170" t="s">
        <v>1660</v>
      </c>
      <c r="F170">
        <v>71</v>
      </c>
      <c r="G170">
        <v>4</v>
      </c>
      <c r="N170" s="1">
        <v>44197</v>
      </c>
      <c r="O170">
        <v>-39</v>
      </c>
      <c r="P170" t="s">
        <v>2403</v>
      </c>
      <c r="Q170" t="s">
        <v>32</v>
      </c>
      <c r="R170">
        <v>158.69</v>
      </c>
      <c r="S170">
        <v>59.61</v>
      </c>
      <c r="T170" t="s">
        <v>32</v>
      </c>
      <c r="U170" t="s">
        <v>32</v>
      </c>
      <c r="V170" t="s">
        <v>32</v>
      </c>
      <c r="X170">
        <v>49</v>
      </c>
      <c r="Y170">
        <v>10.3</v>
      </c>
      <c r="Z170">
        <v>-11.63</v>
      </c>
      <c r="AA170">
        <v>-3.87</v>
      </c>
      <c r="AB170">
        <v>-9.6199999999999992</v>
      </c>
    </row>
    <row r="171" spans="1:28" hidden="1" x14ac:dyDescent="0.2">
      <c r="A171" t="s">
        <v>448</v>
      </c>
      <c r="B171" t="s">
        <v>449</v>
      </c>
      <c r="F171">
        <v>65</v>
      </c>
      <c r="H171">
        <v>1</v>
      </c>
      <c r="I171">
        <v>0</v>
      </c>
      <c r="K171" s="1">
        <v>43316</v>
      </c>
      <c r="L171" t="s">
        <v>43</v>
      </c>
      <c r="M171" t="s">
        <v>169</v>
      </c>
      <c r="N171" s="1">
        <v>44192</v>
      </c>
      <c r="Q171">
        <v>1.75</v>
      </c>
      <c r="R171">
        <v>-9.66</v>
      </c>
      <c r="S171">
        <v>-7.44</v>
      </c>
      <c r="T171">
        <v>-0.65</v>
      </c>
      <c r="U171">
        <v>1.73</v>
      </c>
      <c r="V171">
        <v>7.45</v>
      </c>
      <c r="Y171">
        <v>1.1000000000000001</v>
      </c>
      <c r="Z171">
        <v>4.1100000000000003</v>
      </c>
      <c r="AA171">
        <v>3.43</v>
      </c>
      <c r="AB171">
        <v>7.86</v>
      </c>
    </row>
    <row r="172" spans="1:28" hidden="1" x14ac:dyDescent="0.2">
      <c r="A172" t="s">
        <v>450</v>
      </c>
      <c r="B172" t="s">
        <v>451</v>
      </c>
      <c r="F172">
        <v>69</v>
      </c>
      <c r="H172">
        <v>1</v>
      </c>
      <c r="I172">
        <v>0</v>
      </c>
      <c r="J172" t="s">
        <v>68</v>
      </c>
      <c r="K172" s="1">
        <v>43316</v>
      </c>
      <c r="L172" t="s">
        <v>35</v>
      </c>
      <c r="M172" t="s">
        <v>50</v>
      </c>
      <c r="N172" s="1">
        <v>44192</v>
      </c>
      <c r="Q172">
        <v>3.21</v>
      </c>
      <c r="R172">
        <v>20.76</v>
      </c>
      <c r="S172">
        <v>29.56</v>
      </c>
      <c r="T172">
        <v>19.649999999999999</v>
      </c>
      <c r="U172">
        <v>18.96</v>
      </c>
      <c r="V172" t="s">
        <v>32</v>
      </c>
      <c r="Y172">
        <v>0</v>
      </c>
      <c r="Z172">
        <v>17.86</v>
      </c>
      <c r="AA172">
        <v>2.72</v>
      </c>
      <c r="AB172">
        <v>12.09</v>
      </c>
    </row>
    <row r="173" spans="1:28" hidden="1" x14ac:dyDescent="0.2">
      <c r="A173" t="s">
        <v>452</v>
      </c>
      <c r="B173" t="s">
        <v>453</v>
      </c>
      <c r="F173">
        <v>63</v>
      </c>
      <c r="H173">
        <v>1</v>
      </c>
      <c r="I173">
        <v>0</v>
      </c>
      <c r="K173" s="1">
        <v>43316</v>
      </c>
      <c r="L173" t="s">
        <v>71</v>
      </c>
      <c r="M173" t="s">
        <v>454</v>
      </c>
      <c r="N173" s="1">
        <v>44192</v>
      </c>
      <c r="Q173">
        <v>3.99</v>
      </c>
      <c r="R173">
        <v>-28.02</v>
      </c>
      <c r="S173">
        <v>-6.23</v>
      </c>
      <c r="T173">
        <v>-2.81</v>
      </c>
      <c r="U173">
        <v>4.34</v>
      </c>
      <c r="V173">
        <v>4.95</v>
      </c>
      <c r="Y173">
        <v>0</v>
      </c>
      <c r="Z173">
        <v>34.79</v>
      </c>
      <c r="AA173">
        <v>4.49</v>
      </c>
      <c r="AB173">
        <v>17.440000000000001</v>
      </c>
    </row>
    <row r="174" spans="1:28" hidden="1" x14ac:dyDescent="0.2">
      <c r="A174" t="s">
        <v>591</v>
      </c>
      <c r="B174" t="s">
        <v>592</v>
      </c>
      <c r="F174">
        <v>57</v>
      </c>
      <c r="H174">
        <v>1</v>
      </c>
      <c r="I174">
        <v>0</v>
      </c>
      <c r="K174" s="1">
        <v>43316</v>
      </c>
      <c r="L174" t="s">
        <v>39</v>
      </c>
      <c r="M174" t="s">
        <v>593</v>
      </c>
      <c r="N174" s="1">
        <v>44192</v>
      </c>
      <c r="Q174">
        <v>1.56</v>
      </c>
      <c r="R174">
        <v>23.21</v>
      </c>
      <c r="S174">
        <v>11.89</v>
      </c>
      <c r="T174">
        <v>15.5</v>
      </c>
      <c r="U174">
        <v>13.86</v>
      </c>
      <c r="V174">
        <v>12.87</v>
      </c>
      <c r="Y174">
        <v>0</v>
      </c>
      <c r="Z174">
        <v>24.83</v>
      </c>
      <c r="AA174">
        <v>7.65</v>
      </c>
      <c r="AB174">
        <v>18.059999999999999</v>
      </c>
    </row>
    <row r="175" spans="1:28" hidden="1" x14ac:dyDescent="0.2">
      <c r="A175" t="s">
        <v>1492</v>
      </c>
      <c r="B175" t="s">
        <v>1493</v>
      </c>
      <c r="L175" t="s">
        <v>43</v>
      </c>
      <c r="M175" t="s">
        <v>47</v>
      </c>
      <c r="N175" s="1">
        <v>44197</v>
      </c>
      <c r="O175">
        <v>302</v>
      </c>
      <c r="P175" t="s">
        <v>2403</v>
      </c>
      <c r="Q175" t="s">
        <v>32</v>
      </c>
      <c r="R175">
        <v>3.71</v>
      </c>
      <c r="S175">
        <v>2.86</v>
      </c>
      <c r="T175">
        <v>33.14</v>
      </c>
      <c r="U175" t="s">
        <v>32</v>
      </c>
      <c r="V175" t="s">
        <v>32</v>
      </c>
      <c r="X175" t="s">
        <v>32</v>
      </c>
      <c r="Y175">
        <v>0</v>
      </c>
      <c r="Z175">
        <v>3.8</v>
      </c>
      <c r="AA175">
        <v>4.5999999999999996</v>
      </c>
      <c r="AB175">
        <v>11.89</v>
      </c>
    </row>
    <row r="176" spans="1:28" hidden="1" x14ac:dyDescent="0.2">
      <c r="A176" t="s">
        <v>460</v>
      </c>
      <c r="B176" t="s">
        <v>461</v>
      </c>
      <c r="F176">
        <v>53</v>
      </c>
      <c r="G176">
        <v>3.5</v>
      </c>
      <c r="H176">
        <v>0</v>
      </c>
      <c r="I176">
        <v>0</v>
      </c>
      <c r="J176" t="s">
        <v>68</v>
      </c>
      <c r="K176" s="1">
        <v>43716</v>
      </c>
      <c r="L176" t="s">
        <v>35</v>
      </c>
      <c r="M176" t="s">
        <v>326</v>
      </c>
      <c r="N176" s="1">
        <v>44192</v>
      </c>
      <c r="Q176">
        <v>3.7</v>
      </c>
      <c r="R176">
        <v>-20.329999999999998</v>
      </c>
      <c r="S176">
        <v>-4.3499999999999996</v>
      </c>
      <c r="T176">
        <v>5.0599999999999996</v>
      </c>
      <c r="U176">
        <v>3.77</v>
      </c>
      <c r="V176">
        <v>-8.9700000000000006</v>
      </c>
      <c r="Y176">
        <v>0</v>
      </c>
      <c r="Z176">
        <v>14.23</v>
      </c>
      <c r="AA176">
        <v>0.51</v>
      </c>
      <c r="AB176">
        <v>6.14</v>
      </c>
    </row>
    <row r="177" spans="1:28" hidden="1" x14ac:dyDescent="0.2">
      <c r="A177" t="s">
        <v>1197</v>
      </c>
      <c r="B177" t="s">
        <v>1198</v>
      </c>
      <c r="F177">
        <v>57</v>
      </c>
      <c r="H177">
        <v>1</v>
      </c>
      <c r="I177">
        <v>0</v>
      </c>
      <c r="K177" s="1">
        <v>43316</v>
      </c>
      <c r="L177" t="s">
        <v>43</v>
      </c>
      <c r="M177" t="s">
        <v>405</v>
      </c>
      <c r="N177" s="1">
        <v>44197</v>
      </c>
      <c r="O177">
        <v>515</v>
      </c>
      <c r="P177" t="s">
        <v>2403</v>
      </c>
      <c r="Q177" t="s">
        <v>32</v>
      </c>
      <c r="R177">
        <v>38.130000000000003</v>
      </c>
      <c r="S177">
        <v>21.22</v>
      </c>
      <c r="T177">
        <v>14.6</v>
      </c>
      <c r="U177">
        <v>11.62</v>
      </c>
      <c r="V177">
        <v>11.52</v>
      </c>
      <c r="X177" t="s">
        <v>32</v>
      </c>
      <c r="Y177">
        <v>6.7</v>
      </c>
      <c r="Z177">
        <v>4.5199999999999996</v>
      </c>
      <c r="AA177">
        <v>3.33</v>
      </c>
      <c r="AB177">
        <v>29.2</v>
      </c>
    </row>
    <row r="178" spans="1:28" hidden="1" x14ac:dyDescent="0.2">
      <c r="A178" t="s">
        <v>446</v>
      </c>
      <c r="B178" t="s">
        <v>447</v>
      </c>
      <c r="F178">
        <v>64</v>
      </c>
      <c r="G178">
        <v>3.8</v>
      </c>
      <c r="H178">
        <v>1</v>
      </c>
      <c r="I178">
        <v>0</v>
      </c>
      <c r="J178" t="s">
        <v>53</v>
      </c>
      <c r="K178" s="1">
        <v>43716</v>
      </c>
      <c r="L178" t="s">
        <v>35</v>
      </c>
      <c r="M178" t="s">
        <v>106</v>
      </c>
      <c r="N178" s="1">
        <v>44197</v>
      </c>
      <c r="O178">
        <v>417</v>
      </c>
      <c r="P178" t="s">
        <v>2403</v>
      </c>
      <c r="Q178" t="s">
        <v>32</v>
      </c>
      <c r="R178">
        <v>-21.75</v>
      </c>
      <c r="S178">
        <v>2.2799999999999998</v>
      </c>
      <c r="T178">
        <v>10.09</v>
      </c>
      <c r="U178">
        <v>18.62</v>
      </c>
      <c r="V178">
        <v>22.7</v>
      </c>
      <c r="X178" t="s">
        <v>32</v>
      </c>
      <c r="Y178">
        <v>0</v>
      </c>
      <c r="Z178">
        <v>25.91</v>
      </c>
      <c r="AA178">
        <v>5.75</v>
      </c>
      <c r="AB178">
        <v>17.760000000000002</v>
      </c>
    </row>
    <row r="179" spans="1:28" hidden="1" x14ac:dyDescent="0.2">
      <c r="A179" t="s">
        <v>466</v>
      </c>
      <c r="B179" t="s">
        <v>467</v>
      </c>
      <c r="F179">
        <v>55</v>
      </c>
      <c r="H179">
        <v>1</v>
      </c>
      <c r="I179">
        <v>0</v>
      </c>
      <c r="K179" s="1">
        <v>43316</v>
      </c>
      <c r="L179" t="s">
        <v>39</v>
      </c>
      <c r="M179" t="s">
        <v>60</v>
      </c>
      <c r="N179" s="1">
        <v>44192</v>
      </c>
      <c r="O179">
        <v>60</v>
      </c>
      <c r="Q179">
        <v>0.66</v>
      </c>
      <c r="R179">
        <v>2</v>
      </c>
      <c r="S179">
        <v>14.36</v>
      </c>
      <c r="T179">
        <v>20.25</v>
      </c>
      <c r="U179">
        <v>9.91</v>
      </c>
      <c r="V179">
        <v>9.74</v>
      </c>
      <c r="X179">
        <v>116</v>
      </c>
      <c r="Y179">
        <v>0</v>
      </c>
      <c r="Z179">
        <v>1.91</v>
      </c>
      <c r="AA179">
        <v>0.82</v>
      </c>
      <c r="AB179">
        <v>2.66</v>
      </c>
    </row>
    <row r="180" spans="1:28" hidden="1" x14ac:dyDescent="0.2">
      <c r="A180" t="s">
        <v>468</v>
      </c>
      <c r="B180" t="s">
        <v>469</v>
      </c>
      <c r="F180">
        <v>31</v>
      </c>
      <c r="I180">
        <v>1</v>
      </c>
      <c r="K180" s="1">
        <v>43316</v>
      </c>
      <c r="L180" t="s">
        <v>99</v>
      </c>
      <c r="M180" t="s">
        <v>457</v>
      </c>
      <c r="N180" s="1">
        <v>44192</v>
      </c>
      <c r="Q180">
        <v>2.5</v>
      </c>
      <c r="R180">
        <v>9.52</v>
      </c>
      <c r="S180">
        <v>0.79</v>
      </c>
      <c r="T180">
        <v>5.23</v>
      </c>
      <c r="U180">
        <v>10.220000000000001</v>
      </c>
      <c r="V180">
        <v>7.84</v>
      </c>
      <c r="Y180">
        <v>3.1</v>
      </c>
      <c r="Z180">
        <v>8.77</v>
      </c>
      <c r="AA180">
        <v>4.45</v>
      </c>
      <c r="AB180">
        <v>12.79</v>
      </c>
    </row>
    <row r="181" spans="1:28" hidden="1" x14ac:dyDescent="0.2">
      <c r="A181" t="s">
        <v>470</v>
      </c>
      <c r="B181" t="s">
        <v>471</v>
      </c>
      <c r="F181">
        <v>52</v>
      </c>
      <c r="H181">
        <v>1</v>
      </c>
      <c r="I181">
        <v>0</v>
      </c>
      <c r="K181" s="1">
        <v>43316</v>
      </c>
      <c r="L181" t="s">
        <v>26</v>
      </c>
      <c r="M181" t="s">
        <v>57</v>
      </c>
      <c r="N181" s="1">
        <v>44192</v>
      </c>
      <c r="Q181">
        <v>3.54</v>
      </c>
      <c r="R181">
        <v>8.66</v>
      </c>
      <c r="S181">
        <v>-1.61</v>
      </c>
      <c r="T181">
        <v>-6.82</v>
      </c>
      <c r="U181">
        <v>5.83</v>
      </c>
      <c r="V181">
        <v>1.03</v>
      </c>
      <c r="Y181">
        <v>3.9</v>
      </c>
      <c r="Z181">
        <v>0.63</v>
      </c>
      <c r="AA181">
        <v>2.41</v>
      </c>
      <c r="AB181">
        <v>83.81</v>
      </c>
    </row>
    <row r="182" spans="1:28" hidden="1" x14ac:dyDescent="0.2">
      <c r="A182" t="s">
        <v>472</v>
      </c>
      <c r="B182" t="s">
        <v>473</v>
      </c>
      <c r="F182">
        <v>60</v>
      </c>
      <c r="H182">
        <v>0</v>
      </c>
      <c r="I182">
        <v>0</v>
      </c>
      <c r="K182" s="1">
        <v>43316</v>
      </c>
      <c r="L182" t="s">
        <v>43</v>
      </c>
      <c r="M182" t="s">
        <v>264</v>
      </c>
      <c r="N182" s="1">
        <v>44192</v>
      </c>
      <c r="Q182">
        <v>1.92</v>
      </c>
      <c r="R182">
        <v>-3.79</v>
      </c>
      <c r="S182">
        <v>-6.68</v>
      </c>
      <c r="T182">
        <v>-1.94</v>
      </c>
      <c r="U182">
        <v>3.58</v>
      </c>
      <c r="V182">
        <v>1.03</v>
      </c>
      <c r="Y182">
        <v>5.0999999999999996</v>
      </c>
      <c r="Z182">
        <v>-9</v>
      </c>
      <c r="AA182">
        <v>-7.34</v>
      </c>
      <c r="AB182">
        <v>-44.65</v>
      </c>
    </row>
    <row r="183" spans="1:28" hidden="1" x14ac:dyDescent="0.2">
      <c r="A183" t="s">
        <v>474</v>
      </c>
      <c r="B183" t="s">
        <v>475</v>
      </c>
      <c r="L183" t="s">
        <v>95</v>
      </c>
      <c r="M183" t="s">
        <v>410</v>
      </c>
      <c r="N183" s="1">
        <v>44194</v>
      </c>
      <c r="R183">
        <v>6.52</v>
      </c>
      <c r="S183">
        <v>-22.26</v>
      </c>
      <c r="T183">
        <v>-13.54</v>
      </c>
      <c r="U183">
        <v>12.31</v>
      </c>
      <c r="V183">
        <v>-7.0000000000000007E-2</v>
      </c>
      <c r="Y183">
        <v>1.8</v>
      </c>
      <c r="Z183">
        <v>-30.51</v>
      </c>
      <c r="AA183">
        <v>-20.59</v>
      </c>
      <c r="AB183">
        <v>-71.319999999999993</v>
      </c>
    </row>
    <row r="184" spans="1:28" hidden="1" x14ac:dyDescent="0.2">
      <c r="A184" t="s">
        <v>476</v>
      </c>
      <c r="B184" t="s">
        <v>477</v>
      </c>
      <c r="F184">
        <v>38</v>
      </c>
      <c r="I184">
        <v>0</v>
      </c>
      <c r="K184" s="1">
        <v>43316</v>
      </c>
      <c r="L184" t="s">
        <v>39</v>
      </c>
      <c r="M184" t="s">
        <v>478</v>
      </c>
      <c r="N184" s="1">
        <v>44194</v>
      </c>
      <c r="R184">
        <v>12.84</v>
      </c>
      <c r="S184">
        <v>-6.35</v>
      </c>
      <c r="T184">
        <v>0.24</v>
      </c>
      <c r="U184">
        <v>9.34</v>
      </c>
      <c r="V184">
        <v>-0.23</v>
      </c>
      <c r="Y184">
        <v>0</v>
      </c>
      <c r="Z184">
        <v>-7.28</v>
      </c>
      <c r="AA184">
        <v>-2.12</v>
      </c>
      <c r="AB184">
        <v>-215.75</v>
      </c>
    </row>
    <row r="185" spans="1:28" hidden="1" x14ac:dyDescent="0.2">
      <c r="A185" t="s">
        <v>479</v>
      </c>
      <c r="B185" t="s">
        <v>480</v>
      </c>
      <c r="L185" t="s">
        <v>99</v>
      </c>
      <c r="M185" t="s">
        <v>481</v>
      </c>
      <c r="N185" s="1">
        <v>44192</v>
      </c>
      <c r="Q185">
        <v>0.7</v>
      </c>
      <c r="R185">
        <v>12.94</v>
      </c>
      <c r="S185">
        <v>17.75</v>
      </c>
      <c r="T185">
        <v>8.64</v>
      </c>
      <c r="U185">
        <v>15.83</v>
      </c>
      <c r="V185">
        <v>14.5</v>
      </c>
      <c r="Y185">
        <v>1.4</v>
      </c>
      <c r="Z185">
        <v>4.49</v>
      </c>
      <c r="AA185">
        <v>8.0299999999999994</v>
      </c>
      <c r="AB185">
        <v>19.21</v>
      </c>
    </row>
    <row r="186" spans="1:28" hidden="1" x14ac:dyDescent="0.2">
      <c r="A186" t="s">
        <v>482</v>
      </c>
      <c r="B186" t="s">
        <v>483</v>
      </c>
      <c r="F186">
        <v>41</v>
      </c>
      <c r="I186">
        <v>0</v>
      </c>
      <c r="K186" s="1">
        <v>43316</v>
      </c>
      <c r="L186" t="s">
        <v>39</v>
      </c>
      <c r="M186" t="s">
        <v>134</v>
      </c>
      <c r="N186" s="1">
        <v>44192</v>
      </c>
      <c r="O186">
        <v>3316</v>
      </c>
      <c r="Q186">
        <v>2.37</v>
      </c>
      <c r="R186">
        <v>24.55</v>
      </c>
      <c r="S186">
        <v>6.99</v>
      </c>
      <c r="T186">
        <v>23.2</v>
      </c>
      <c r="U186">
        <v>8.24</v>
      </c>
      <c r="V186">
        <v>9.09</v>
      </c>
      <c r="X186">
        <v>1427</v>
      </c>
      <c r="Y186">
        <v>8.8000000000000007</v>
      </c>
      <c r="Z186">
        <v>7.6</v>
      </c>
      <c r="AA186">
        <v>4.29</v>
      </c>
      <c r="AB186">
        <v>22.18</v>
      </c>
    </row>
    <row r="187" spans="1:28" hidden="1" x14ac:dyDescent="0.2">
      <c r="A187" t="s">
        <v>484</v>
      </c>
      <c r="B187" t="s">
        <v>485</v>
      </c>
      <c r="N187" s="1">
        <v>44192</v>
      </c>
      <c r="Q187">
        <v>8.19</v>
      </c>
      <c r="R187">
        <v>-51.53</v>
      </c>
      <c r="S187">
        <v>-11.23</v>
      </c>
      <c r="T187">
        <v>-18.2</v>
      </c>
      <c r="U187">
        <v>-3.09</v>
      </c>
      <c r="V187">
        <v>0.52</v>
      </c>
      <c r="Y187">
        <v>0</v>
      </c>
      <c r="Z187">
        <v>-6.65</v>
      </c>
      <c r="AA187">
        <v>-6.54</v>
      </c>
      <c r="AB187">
        <v>-13.81</v>
      </c>
    </row>
    <row r="188" spans="1:28" hidden="1" x14ac:dyDescent="0.2">
      <c r="A188" t="s">
        <v>2091</v>
      </c>
      <c r="B188" t="s">
        <v>2092</v>
      </c>
      <c r="F188">
        <v>57</v>
      </c>
      <c r="H188">
        <v>1</v>
      </c>
      <c r="I188">
        <v>0</v>
      </c>
      <c r="K188" s="1">
        <v>43316</v>
      </c>
      <c r="L188" t="s">
        <v>26</v>
      </c>
      <c r="M188" t="s">
        <v>27</v>
      </c>
      <c r="N188" s="1">
        <v>44193</v>
      </c>
      <c r="O188">
        <v>4879</v>
      </c>
      <c r="Q188">
        <v>0.18</v>
      </c>
      <c r="R188">
        <v>40.57</v>
      </c>
      <c r="S188">
        <v>34.22</v>
      </c>
      <c r="T188">
        <v>26.71</v>
      </c>
      <c r="U188">
        <v>23.6</v>
      </c>
      <c r="V188">
        <v>19.89</v>
      </c>
      <c r="X188">
        <v>1067</v>
      </c>
      <c r="Y188">
        <v>1.6</v>
      </c>
      <c r="Z188">
        <v>17.12</v>
      </c>
      <c r="AA188">
        <v>8.08</v>
      </c>
      <c r="AB188">
        <v>15.95</v>
      </c>
    </row>
    <row r="189" spans="1:28" hidden="1" x14ac:dyDescent="0.2">
      <c r="A189" t="s">
        <v>489</v>
      </c>
      <c r="B189" t="s">
        <v>490</v>
      </c>
      <c r="F189">
        <v>48</v>
      </c>
      <c r="H189">
        <v>1</v>
      </c>
      <c r="I189">
        <v>0</v>
      </c>
      <c r="J189" t="s">
        <v>53</v>
      </c>
      <c r="K189" s="1">
        <v>43316</v>
      </c>
      <c r="L189" t="s">
        <v>35</v>
      </c>
      <c r="M189" t="s">
        <v>129</v>
      </c>
      <c r="N189" s="1">
        <v>44192</v>
      </c>
      <c r="Q189">
        <v>2.0699999999999998</v>
      </c>
      <c r="R189">
        <v>-0.01</v>
      </c>
      <c r="S189">
        <v>3.4</v>
      </c>
      <c r="T189">
        <v>7.03</v>
      </c>
      <c r="U189">
        <v>10.99</v>
      </c>
      <c r="V189">
        <v>8.4600000000000009</v>
      </c>
      <c r="Y189">
        <v>1.5</v>
      </c>
      <c r="Z189">
        <v>6.56</v>
      </c>
      <c r="AA189">
        <v>1.26</v>
      </c>
      <c r="AB189">
        <v>4.12</v>
      </c>
    </row>
    <row r="190" spans="1:28" hidden="1" x14ac:dyDescent="0.2">
      <c r="A190" t="s">
        <v>491</v>
      </c>
      <c r="B190" t="s">
        <v>492</v>
      </c>
      <c r="F190">
        <v>64</v>
      </c>
      <c r="G190">
        <v>3.6</v>
      </c>
      <c r="K190" s="1">
        <v>43716</v>
      </c>
      <c r="L190" t="s">
        <v>71</v>
      </c>
      <c r="M190" t="s">
        <v>493</v>
      </c>
      <c r="N190" s="1">
        <v>44194</v>
      </c>
      <c r="R190">
        <v>3.31</v>
      </c>
      <c r="S190">
        <v>12.73</v>
      </c>
      <c r="T190">
        <v>12.64</v>
      </c>
      <c r="U190">
        <v>11.77</v>
      </c>
      <c r="V190">
        <v>8.01</v>
      </c>
      <c r="Y190">
        <v>3.1</v>
      </c>
      <c r="Z190">
        <v>4.4800000000000004</v>
      </c>
      <c r="AA190">
        <v>6.86</v>
      </c>
      <c r="AB190">
        <v>17.829999999999998</v>
      </c>
    </row>
    <row r="191" spans="1:28" hidden="1" x14ac:dyDescent="0.2">
      <c r="A191" t="s">
        <v>494</v>
      </c>
      <c r="B191" t="s">
        <v>495</v>
      </c>
      <c r="F191">
        <v>50</v>
      </c>
      <c r="H191">
        <v>0</v>
      </c>
      <c r="I191">
        <v>0</v>
      </c>
      <c r="K191" s="1">
        <v>43316</v>
      </c>
      <c r="L191" t="s">
        <v>43</v>
      </c>
      <c r="M191" t="s">
        <v>264</v>
      </c>
      <c r="N191" s="1">
        <v>44192</v>
      </c>
      <c r="Q191">
        <v>2.79</v>
      </c>
      <c r="R191">
        <v>-12.4</v>
      </c>
      <c r="S191">
        <v>-2.13</v>
      </c>
      <c r="T191">
        <v>6.28</v>
      </c>
      <c r="U191">
        <v>12.64</v>
      </c>
      <c r="V191">
        <v>11.9</v>
      </c>
      <c r="Y191">
        <v>0</v>
      </c>
      <c r="Z191">
        <v>3.92</v>
      </c>
      <c r="AA191">
        <v>3.76</v>
      </c>
      <c r="AB191">
        <v>15.86</v>
      </c>
    </row>
    <row r="192" spans="1:28" hidden="1" x14ac:dyDescent="0.2">
      <c r="A192" t="s">
        <v>498</v>
      </c>
      <c r="B192" t="s">
        <v>499</v>
      </c>
      <c r="L192" t="s">
        <v>30</v>
      </c>
      <c r="M192" t="s">
        <v>164</v>
      </c>
      <c r="N192" s="1">
        <v>44192</v>
      </c>
      <c r="Q192">
        <v>4.1100000000000003</v>
      </c>
      <c r="R192">
        <v>51.74</v>
      </c>
      <c r="S192">
        <v>-15.33</v>
      </c>
      <c r="T192">
        <v>39.200000000000003</v>
      </c>
      <c r="U192" t="s">
        <v>32</v>
      </c>
      <c r="V192" t="s">
        <v>32</v>
      </c>
      <c r="Y192">
        <v>0</v>
      </c>
      <c r="Z192">
        <v>-2.35</v>
      </c>
      <c r="AA192">
        <v>-1.62</v>
      </c>
      <c r="AB192">
        <v>-14.91</v>
      </c>
    </row>
    <row r="193" spans="1:28" hidden="1" x14ac:dyDescent="0.2">
      <c r="A193" s="4" t="s">
        <v>2276</v>
      </c>
      <c r="B193" t="s">
        <v>2277</v>
      </c>
      <c r="J193" t="s">
        <v>53</v>
      </c>
      <c r="N193" s="1">
        <v>44197</v>
      </c>
      <c r="O193">
        <v>-442</v>
      </c>
      <c r="P193" t="s">
        <v>2403</v>
      </c>
      <c r="Q193" t="s">
        <v>32</v>
      </c>
      <c r="R193">
        <v>94.34</v>
      </c>
      <c r="S193">
        <v>72.55</v>
      </c>
      <c r="T193">
        <v>50.71</v>
      </c>
      <c r="U193" t="s">
        <v>32</v>
      </c>
      <c r="V193" t="s">
        <v>32</v>
      </c>
      <c r="X193">
        <v>820</v>
      </c>
      <c r="Y193">
        <v>9.3000000000000007</v>
      </c>
      <c r="Z193">
        <v>-25.82</v>
      </c>
      <c r="AA193">
        <v>-12.07</v>
      </c>
      <c r="AB193">
        <v>-63.87</v>
      </c>
    </row>
    <row r="194" spans="1:28" hidden="1" x14ac:dyDescent="0.2">
      <c r="A194" t="s">
        <v>503</v>
      </c>
      <c r="B194" t="s">
        <v>504</v>
      </c>
      <c r="N194" s="1">
        <v>44192</v>
      </c>
      <c r="Q194">
        <v>0.61</v>
      </c>
      <c r="R194">
        <v>53.4</v>
      </c>
      <c r="S194">
        <v>13.55</v>
      </c>
      <c r="T194">
        <v>2.82</v>
      </c>
      <c r="U194">
        <v>-8.5399999999999991</v>
      </c>
      <c r="V194">
        <v>-3.83</v>
      </c>
      <c r="Y194">
        <v>0</v>
      </c>
      <c r="Z194">
        <v>-0.22</v>
      </c>
      <c r="AA194">
        <v>-0.06</v>
      </c>
      <c r="AB194">
        <v>-0.09</v>
      </c>
    </row>
    <row r="195" spans="1:28" hidden="1" x14ac:dyDescent="0.2">
      <c r="A195" t="s">
        <v>714</v>
      </c>
      <c r="B195" t="s">
        <v>715</v>
      </c>
      <c r="F195">
        <v>57</v>
      </c>
      <c r="H195">
        <v>1</v>
      </c>
      <c r="I195">
        <v>0</v>
      </c>
      <c r="K195" s="1">
        <v>43316</v>
      </c>
      <c r="L195" t="s">
        <v>26</v>
      </c>
      <c r="M195" t="s">
        <v>27</v>
      </c>
      <c r="N195" s="1">
        <v>44192</v>
      </c>
      <c r="O195">
        <v>3681</v>
      </c>
      <c r="Q195">
        <v>0.32</v>
      </c>
      <c r="R195">
        <v>45.02</v>
      </c>
      <c r="S195">
        <v>33.76</v>
      </c>
      <c r="T195">
        <v>21.43</v>
      </c>
      <c r="U195">
        <v>18.059999999999999</v>
      </c>
      <c r="V195">
        <v>15.7</v>
      </c>
      <c r="X195">
        <v>1246</v>
      </c>
      <c r="Y195">
        <v>2.1</v>
      </c>
      <c r="Z195">
        <v>17.82</v>
      </c>
      <c r="AA195">
        <v>5.41</v>
      </c>
      <c r="AB195">
        <v>11.08</v>
      </c>
    </row>
    <row r="196" spans="1:28" hidden="1" x14ac:dyDescent="0.2">
      <c r="A196" t="s">
        <v>505</v>
      </c>
      <c r="B196" t="s">
        <v>506</v>
      </c>
      <c r="F196">
        <v>60</v>
      </c>
      <c r="H196">
        <v>0</v>
      </c>
      <c r="I196">
        <v>0</v>
      </c>
      <c r="J196" t="s">
        <v>80</v>
      </c>
      <c r="K196" s="1">
        <v>43316</v>
      </c>
      <c r="L196" t="s">
        <v>43</v>
      </c>
      <c r="M196" t="s">
        <v>507</v>
      </c>
      <c r="N196" s="1">
        <v>44192</v>
      </c>
      <c r="Q196">
        <v>5.01</v>
      </c>
      <c r="R196">
        <v>-58.11</v>
      </c>
      <c r="S196">
        <v>-27.49</v>
      </c>
      <c r="T196">
        <v>-12.2</v>
      </c>
      <c r="U196">
        <v>-3.09</v>
      </c>
      <c r="V196">
        <v>-2.2599999999999998</v>
      </c>
      <c r="Y196">
        <v>0</v>
      </c>
      <c r="Z196">
        <v>-73.400000000000006</v>
      </c>
      <c r="AA196">
        <v>-16.010000000000002</v>
      </c>
      <c r="AB196">
        <v>-33.89</v>
      </c>
    </row>
    <row r="197" spans="1:28" hidden="1" x14ac:dyDescent="0.2">
      <c r="A197" t="s">
        <v>508</v>
      </c>
      <c r="B197" t="s">
        <v>509</v>
      </c>
      <c r="N197" s="1">
        <v>44192</v>
      </c>
      <c r="Q197">
        <v>1.25</v>
      </c>
      <c r="R197">
        <v>-5.29</v>
      </c>
      <c r="S197">
        <v>-9.39</v>
      </c>
      <c r="T197">
        <v>2.41</v>
      </c>
      <c r="U197" t="s">
        <v>32</v>
      </c>
      <c r="V197" t="s">
        <v>32</v>
      </c>
      <c r="Y197">
        <v>0</v>
      </c>
    </row>
    <row r="198" spans="1:28" hidden="1" x14ac:dyDescent="0.2">
      <c r="A198" t="s">
        <v>510</v>
      </c>
      <c r="B198" t="s">
        <v>510</v>
      </c>
      <c r="F198">
        <v>74</v>
      </c>
      <c r="G198">
        <v>3.9</v>
      </c>
      <c r="K198" s="1">
        <v>43716</v>
      </c>
      <c r="L198" t="s">
        <v>95</v>
      </c>
      <c r="M198" t="s">
        <v>511</v>
      </c>
      <c r="N198" s="1">
        <v>44192</v>
      </c>
      <c r="Q198">
        <v>1.18</v>
      </c>
      <c r="R198">
        <v>-8.5299999999999994</v>
      </c>
      <c r="S198">
        <v>24.32</v>
      </c>
      <c r="T198">
        <v>25.57</v>
      </c>
      <c r="U198" t="s">
        <v>32</v>
      </c>
      <c r="V198" t="s">
        <v>32</v>
      </c>
      <c r="Y198">
        <v>0</v>
      </c>
      <c r="Z198">
        <v>4.08</v>
      </c>
      <c r="AA198">
        <v>8.69</v>
      </c>
      <c r="AB198">
        <v>67.7</v>
      </c>
    </row>
    <row r="199" spans="1:28" hidden="1" x14ac:dyDescent="0.2">
      <c r="A199" t="s">
        <v>512</v>
      </c>
      <c r="B199" t="s">
        <v>513</v>
      </c>
      <c r="L199" t="s">
        <v>30</v>
      </c>
      <c r="M199" t="s">
        <v>248</v>
      </c>
      <c r="N199" s="1">
        <v>44192</v>
      </c>
      <c r="O199">
        <v>575</v>
      </c>
      <c r="Q199">
        <v>1.92</v>
      </c>
      <c r="R199">
        <v>7.25</v>
      </c>
      <c r="S199">
        <v>8.69</v>
      </c>
      <c r="T199">
        <v>15.66</v>
      </c>
      <c r="U199">
        <v>13.36</v>
      </c>
      <c r="V199">
        <v>14.29</v>
      </c>
      <c r="X199">
        <v>71</v>
      </c>
      <c r="Y199">
        <v>3.9</v>
      </c>
      <c r="Z199">
        <v>10.46</v>
      </c>
      <c r="AA199">
        <v>5.99</v>
      </c>
      <c r="AB199">
        <v>21.88</v>
      </c>
    </row>
    <row r="200" spans="1:28" hidden="1" x14ac:dyDescent="0.2">
      <c r="A200" t="s">
        <v>514</v>
      </c>
      <c r="B200" t="s">
        <v>515</v>
      </c>
      <c r="F200">
        <v>36</v>
      </c>
      <c r="H200">
        <v>1</v>
      </c>
      <c r="I200">
        <v>0</v>
      </c>
      <c r="K200" s="1">
        <v>43316</v>
      </c>
      <c r="L200" t="s">
        <v>30</v>
      </c>
      <c r="M200" t="s">
        <v>261</v>
      </c>
      <c r="N200" s="1">
        <v>44194</v>
      </c>
      <c r="R200">
        <v>-53.84</v>
      </c>
      <c r="S200">
        <v>-44.05</v>
      </c>
      <c r="T200" t="s">
        <v>32</v>
      </c>
      <c r="U200" t="s">
        <v>32</v>
      </c>
      <c r="V200" t="s">
        <v>32</v>
      </c>
      <c r="Y200">
        <v>0</v>
      </c>
      <c r="Z200">
        <v>-0.95</v>
      </c>
      <c r="AA200">
        <v>-0.34</v>
      </c>
      <c r="AB200">
        <v>-2.02</v>
      </c>
    </row>
    <row r="201" spans="1:28" hidden="1" x14ac:dyDescent="0.2">
      <c r="A201" s="4" t="s">
        <v>91</v>
      </c>
      <c r="B201" t="s">
        <v>92</v>
      </c>
      <c r="L201" t="s">
        <v>43</v>
      </c>
      <c r="M201" t="s">
        <v>88</v>
      </c>
      <c r="N201" s="1">
        <v>44197</v>
      </c>
      <c r="O201">
        <v>557</v>
      </c>
      <c r="P201" t="s">
        <v>2403</v>
      </c>
      <c r="Q201" t="s">
        <v>32</v>
      </c>
      <c r="R201">
        <v>50.23</v>
      </c>
      <c r="S201">
        <v>64.22</v>
      </c>
      <c r="T201">
        <v>46</v>
      </c>
      <c r="U201">
        <v>26.11</v>
      </c>
      <c r="V201" t="s">
        <v>32</v>
      </c>
      <c r="X201" t="s">
        <v>32</v>
      </c>
      <c r="Y201">
        <v>3.1</v>
      </c>
      <c r="Z201">
        <v>13.69</v>
      </c>
      <c r="AA201">
        <v>17.190000000000001</v>
      </c>
      <c r="AB201">
        <v>29.23</v>
      </c>
    </row>
    <row r="202" spans="1:28" hidden="1" x14ac:dyDescent="0.2">
      <c r="A202" t="s">
        <v>516</v>
      </c>
      <c r="B202" t="s">
        <v>517</v>
      </c>
      <c r="H202">
        <v>1</v>
      </c>
      <c r="I202">
        <v>0</v>
      </c>
      <c r="L202" t="s">
        <v>30</v>
      </c>
      <c r="M202" t="s">
        <v>31</v>
      </c>
      <c r="N202" s="1">
        <v>44194</v>
      </c>
      <c r="R202">
        <v>39.46</v>
      </c>
      <c r="S202">
        <v>-19.600000000000001</v>
      </c>
      <c r="T202">
        <v>17.510000000000002</v>
      </c>
      <c r="U202">
        <v>-4.0999999999999996</v>
      </c>
      <c r="V202">
        <v>-6.11</v>
      </c>
      <c r="Y202">
        <v>0</v>
      </c>
      <c r="Z202">
        <v>-5.61</v>
      </c>
      <c r="AA202">
        <v>-6.39</v>
      </c>
      <c r="AB202">
        <v>-14.44</v>
      </c>
    </row>
    <row r="203" spans="1:28" hidden="1" x14ac:dyDescent="0.2">
      <c r="A203" t="s">
        <v>518</v>
      </c>
      <c r="B203" t="s">
        <v>519</v>
      </c>
      <c r="F203">
        <v>69</v>
      </c>
      <c r="H203">
        <v>1</v>
      </c>
      <c r="I203">
        <v>0</v>
      </c>
      <c r="J203" t="s">
        <v>80</v>
      </c>
      <c r="K203" s="1">
        <v>43316</v>
      </c>
      <c r="L203" t="s">
        <v>95</v>
      </c>
      <c r="M203" t="s">
        <v>520</v>
      </c>
      <c r="N203" s="1">
        <v>44192</v>
      </c>
      <c r="O203">
        <v>793</v>
      </c>
      <c r="Q203">
        <v>0.96</v>
      </c>
      <c r="R203">
        <v>8.27</v>
      </c>
      <c r="S203">
        <v>5.76</v>
      </c>
      <c r="T203">
        <v>5.6</v>
      </c>
      <c r="U203">
        <v>12.85</v>
      </c>
      <c r="V203">
        <v>13.65</v>
      </c>
      <c r="X203">
        <v>739</v>
      </c>
      <c r="Y203">
        <v>3</v>
      </c>
      <c r="Z203">
        <v>14.28</v>
      </c>
      <c r="AA203">
        <v>11.09</v>
      </c>
      <c r="AB203">
        <v>17.98</v>
      </c>
    </row>
    <row r="204" spans="1:28" hidden="1" x14ac:dyDescent="0.2">
      <c r="A204" t="s">
        <v>521</v>
      </c>
      <c r="B204" t="s">
        <v>522</v>
      </c>
      <c r="F204">
        <v>69</v>
      </c>
      <c r="G204">
        <v>3.7</v>
      </c>
      <c r="H204">
        <v>1</v>
      </c>
      <c r="I204">
        <v>0</v>
      </c>
      <c r="J204" t="s">
        <v>80</v>
      </c>
      <c r="K204" s="1">
        <v>43716</v>
      </c>
      <c r="L204" t="s">
        <v>30</v>
      </c>
      <c r="M204" t="s">
        <v>523</v>
      </c>
      <c r="N204" s="1">
        <v>44192</v>
      </c>
      <c r="Q204">
        <v>3.22</v>
      </c>
      <c r="R204">
        <v>-20.71</v>
      </c>
      <c r="S204">
        <v>-1.05</v>
      </c>
      <c r="T204">
        <v>-0.2</v>
      </c>
      <c r="U204">
        <v>5.47</v>
      </c>
      <c r="V204">
        <v>19.88</v>
      </c>
      <c r="Y204">
        <v>2.6</v>
      </c>
      <c r="Z204">
        <v>7</v>
      </c>
      <c r="AA204">
        <v>2.2999999999999998</v>
      </c>
      <c r="AB204">
        <v>9.82</v>
      </c>
    </row>
    <row r="205" spans="1:28" hidden="1" x14ac:dyDescent="0.2">
      <c r="A205" t="s">
        <v>524</v>
      </c>
      <c r="B205" t="s">
        <v>525</v>
      </c>
      <c r="F205">
        <v>49</v>
      </c>
      <c r="H205">
        <v>1</v>
      </c>
      <c r="I205">
        <v>0</v>
      </c>
      <c r="K205" s="1">
        <v>43316</v>
      </c>
      <c r="L205" t="s">
        <v>35</v>
      </c>
      <c r="M205" t="s">
        <v>235</v>
      </c>
      <c r="N205" s="1">
        <v>44192</v>
      </c>
      <c r="Q205">
        <v>4.78</v>
      </c>
      <c r="R205">
        <v>-9.4499999999999993</v>
      </c>
      <c r="S205">
        <v>-2.91</v>
      </c>
      <c r="T205">
        <v>8.57</v>
      </c>
      <c r="U205" t="s">
        <v>32</v>
      </c>
      <c r="V205" t="s">
        <v>32</v>
      </c>
      <c r="Y205">
        <v>0</v>
      </c>
      <c r="Z205">
        <v>15.16</v>
      </c>
      <c r="AA205">
        <v>0.55000000000000004</v>
      </c>
      <c r="AB205">
        <v>4.62</v>
      </c>
    </row>
    <row r="206" spans="1:28" hidden="1" x14ac:dyDescent="0.2">
      <c r="A206" t="s">
        <v>526</v>
      </c>
      <c r="B206" t="s">
        <v>527</v>
      </c>
      <c r="N206" s="1">
        <v>44192</v>
      </c>
      <c r="Q206">
        <v>3.52</v>
      </c>
      <c r="R206">
        <v>3.88</v>
      </c>
      <c r="S206">
        <v>15.57</v>
      </c>
      <c r="T206">
        <v>18.690000000000001</v>
      </c>
      <c r="U206" t="s">
        <v>32</v>
      </c>
      <c r="V206" t="s">
        <v>32</v>
      </c>
      <c r="Y206">
        <v>0</v>
      </c>
      <c r="Z206">
        <v>-15.09</v>
      </c>
      <c r="AA206">
        <v>-1.27</v>
      </c>
      <c r="AB206">
        <v>-11.55</v>
      </c>
    </row>
    <row r="207" spans="1:28" hidden="1" x14ac:dyDescent="0.2">
      <c r="A207" t="s">
        <v>528</v>
      </c>
      <c r="B207" t="s">
        <v>529</v>
      </c>
      <c r="L207" t="s">
        <v>26</v>
      </c>
      <c r="M207" t="s">
        <v>530</v>
      </c>
      <c r="N207" s="1">
        <v>44194</v>
      </c>
      <c r="R207">
        <v>28.47</v>
      </c>
      <c r="S207">
        <v>0.66</v>
      </c>
      <c r="T207">
        <v>63.69</v>
      </c>
      <c r="U207" t="s">
        <v>32</v>
      </c>
      <c r="V207" t="s">
        <v>32</v>
      </c>
      <c r="Y207">
        <v>0</v>
      </c>
      <c r="Z207">
        <v>-321.55</v>
      </c>
      <c r="AA207">
        <v>-20.74</v>
      </c>
      <c r="AB207">
        <v>-29.89</v>
      </c>
    </row>
    <row r="208" spans="1:28" hidden="1" x14ac:dyDescent="0.2">
      <c r="A208" t="s">
        <v>1285</v>
      </c>
      <c r="B208" t="s">
        <v>1286</v>
      </c>
      <c r="F208">
        <v>58</v>
      </c>
      <c r="H208">
        <v>1</v>
      </c>
      <c r="I208">
        <v>0</v>
      </c>
      <c r="J208" t="s">
        <v>53</v>
      </c>
      <c r="K208" s="1">
        <v>43316</v>
      </c>
      <c r="L208" t="s">
        <v>95</v>
      </c>
      <c r="M208" t="s">
        <v>913</v>
      </c>
      <c r="N208" s="1">
        <v>44192</v>
      </c>
      <c r="Q208">
        <v>0.85</v>
      </c>
      <c r="R208">
        <v>44.31</v>
      </c>
      <c r="S208">
        <v>26.17</v>
      </c>
      <c r="T208">
        <v>26.31</v>
      </c>
      <c r="U208">
        <v>16.21</v>
      </c>
      <c r="V208">
        <v>16.53</v>
      </c>
      <c r="Y208">
        <v>0</v>
      </c>
      <c r="Z208">
        <v>11.53</v>
      </c>
      <c r="AA208">
        <v>11.2</v>
      </c>
      <c r="AB208">
        <v>14.37</v>
      </c>
    </row>
    <row r="209" spans="1:28" hidden="1" x14ac:dyDescent="0.2">
      <c r="A209" s="2" t="s">
        <v>2220</v>
      </c>
      <c r="B209" t="s">
        <v>2221</v>
      </c>
      <c r="F209">
        <v>83</v>
      </c>
      <c r="G209">
        <v>4.2</v>
      </c>
      <c r="N209" s="1">
        <v>44193</v>
      </c>
      <c r="R209">
        <v>127.24</v>
      </c>
      <c r="S209" t="s">
        <v>32</v>
      </c>
      <c r="T209" t="s">
        <v>32</v>
      </c>
      <c r="U209" t="s">
        <v>32</v>
      </c>
      <c r="V209" t="s">
        <v>32</v>
      </c>
      <c r="Y209">
        <v>0</v>
      </c>
      <c r="Z209">
        <v>-339.6</v>
      </c>
      <c r="AA209">
        <v>-37.6</v>
      </c>
      <c r="AB209">
        <v>-96.62</v>
      </c>
    </row>
    <row r="210" spans="1:28" hidden="1" x14ac:dyDescent="0.2">
      <c r="A210" t="s">
        <v>1146</v>
      </c>
      <c r="B210" t="s">
        <v>1147</v>
      </c>
      <c r="F210">
        <v>60</v>
      </c>
      <c r="H210">
        <v>1</v>
      </c>
      <c r="I210">
        <v>0</v>
      </c>
      <c r="J210" t="s">
        <v>80</v>
      </c>
      <c r="K210" s="1">
        <v>43316</v>
      </c>
      <c r="L210" t="s">
        <v>26</v>
      </c>
      <c r="M210" t="s">
        <v>759</v>
      </c>
      <c r="N210" s="1">
        <v>44193</v>
      </c>
      <c r="Q210">
        <v>0.55000000000000004</v>
      </c>
      <c r="R210">
        <v>11.28</v>
      </c>
      <c r="S210">
        <v>23.46</v>
      </c>
      <c r="T210">
        <v>19.46</v>
      </c>
      <c r="Y210">
        <v>1.3</v>
      </c>
    </row>
    <row r="211" spans="1:28" hidden="1" x14ac:dyDescent="0.2">
      <c r="A211" t="s">
        <v>538</v>
      </c>
      <c r="B211" t="s">
        <v>539</v>
      </c>
      <c r="F211">
        <v>29</v>
      </c>
      <c r="H211">
        <v>1</v>
      </c>
      <c r="I211">
        <v>0</v>
      </c>
      <c r="K211" s="1">
        <v>43316</v>
      </c>
      <c r="L211" t="s">
        <v>226</v>
      </c>
      <c r="M211" t="s">
        <v>243</v>
      </c>
      <c r="N211" s="1">
        <v>44192</v>
      </c>
      <c r="R211">
        <v>75</v>
      </c>
      <c r="S211">
        <v>32.64</v>
      </c>
      <c r="T211">
        <v>11.71</v>
      </c>
      <c r="U211" t="s">
        <v>32</v>
      </c>
      <c r="V211" t="s">
        <v>32</v>
      </c>
      <c r="Y211">
        <v>0</v>
      </c>
    </row>
    <row r="212" spans="1:28" hidden="1" x14ac:dyDescent="0.2">
      <c r="A212" t="s">
        <v>540</v>
      </c>
      <c r="B212" t="s">
        <v>541</v>
      </c>
      <c r="L212" t="s">
        <v>95</v>
      </c>
      <c r="M212" t="s">
        <v>542</v>
      </c>
      <c r="N212" s="1">
        <v>44194</v>
      </c>
      <c r="O212">
        <v>848</v>
      </c>
      <c r="R212">
        <v>23.07</v>
      </c>
      <c r="S212">
        <v>9.89</v>
      </c>
      <c r="T212">
        <v>10.76</v>
      </c>
      <c r="U212">
        <v>11.62</v>
      </c>
      <c r="V212">
        <v>13.57</v>
      </c>
      <c r="X212">
        <v>249</v>
      </c>
      <c r="Y212">
        <v>3.7</v>
      </c>
      <c r="Z212">
        <v>41.47</v>
      </c>
      <c r="AA212">
        <v>15.21</v>
      </c>
      <c r="AB212">
        <v>24.46</v>
      </c>
    </row>
    <row r="213" spans="1:28" hidden="1" x14ac:dyDescent="0.2">
      <c r="A213" t="s">
        <v>543</v>
      </c>
      <c r="B213" t="s">
        <v>544</v>
      </c>
      <c r="F213">
        <v>43</v>
      </c>
      <c r="H213">
        <v>1</v>
      </c>
      <c r="I213">
        <v>0</v>
      </c>
      <c r="K213" s="1">
        <v>43316</v>
      </c>
      <c r="L213" t="s">
        <v>39</v>
      </c>
      <c r="M213" t="s">
        <v>545</v>
      </c>
      <c r="N213" s="1">
        <v>44192</v>
      </c>
      <c r="Q213">
        <v>2.17</v>
      </c>
      <c r="R213">
        <v>24.71</v>
      </c>
      <c r="S213">
        <v>4.28</v>
      </c>
      <c r="T213">
        <v>10.39</v>
      </c>
      <c r="U213">
        <v>3.37</v>
      </c>
      <c r="V213">
        <v>7.65</v>
      </c>
      <c r="Y213">
        <v>2.8</v>
      </c>
      <c r="Z213">
        <v>2.96</v>
      </c>
      <c r="AA213">
        <v>9.43</v>
      </c>
      <c r="AB213">
        <v>25.81</v>
      </c>
    </row>
    <row r="214" spans="1:28" hidden="1" x14ac:dyDescent="0.2">
      <c r="A214" t="s">
        <v>546</v>
      </c>
      <c r="B214" t="s">
        <v>546</v>
      </c>
      <c r="L214" t="s">
        <v>43</v>
      </c>
      <c r="M214" t="s">
        <v>88</v>
      </c>
      <c r="N214" s="1">
        <v>44192</v>
      </c>
      <c r="Q214">
        <v>11.75</v>
      </c>
      <c r="R214">
        <v>-61.65</v>
      </c>
      <c r="S214">
        <v>-36.29</v>
      </c>
      <c r="T214">
        <v>-23.22</v>
      </c>
      <c r="U214">
        <v>-9.9</v>
      </c>
      <c r="V214">
        <v>-14.35</v>
      </c>
      <c r="Y214">
        <v>0</v>
      </c>
      <c r="Z214">
        <v>-19.489999999999998</v>
      </c>
      <c r="AA214">
        <v>-19.07</v>
      </c>
      <c r="AB214">
        <v>-72.66</v>
      </c>
    </row>
    <row r="215" spans="1:28" hidden="1" x14ac:dyDescent="0.2">
      <c r="A215" t="s">
        <v>776</v>
      </c>
      <c r="B215" t="s">
        <v>777</v>
      </c>
      <c r="F215">
        <v>60</v>
      </c>
      <c r="H215">
        <v>1</v>
      </c>
      <c r="I215">
        <v>0</v>
      </c>
      <c r="K215" s="1">
        <v>43316</v>
      </c>
      <c r="L215" t="s">
        <v>30</v>
      </c>
      <c r="M215" t="s">
        <v>164</v>
      </c>
      <c r="N215" s="1">
        <v>44192</v>
      </c>
      <c r="Q215">
        <v>0.85</v>
      </c>
      <c r="R215">
        <v>13.87</v>
      </c>
      <c r="S215">
        <v>18.260000000000002</v>
      </c>
      <c r="T215">
        <v>14.16</v>
      </c>
      <c r="U215">
        <v>16.399999999999999</v>
      </c>
      <c r="V215">
        <v>13.22</v>
      </c>
      <c r="Y215">
        <v>5.4</v>
      </c>
      <c r="Z215">
        <v>-7.52</v>
      </c>
      <c r="AA215">
        <v>-5.53</v>
      </c>
      <c r="AB215">
        <v>-14.75</v>
      </c>
    </row>
    <row r="216" spans="1:28" hidden="1" x14ac:dyDescent="0.2">
      <c r="A216" t="s">
        <v>109</v>
      </c>
      <c r="B216" t="s">
        <v>110</v>
      </c>
      <c r="F216">
        <v>60</v>
      </c>
      <c r="H216">
        <v>1</v>
      </c>
      <c r="I216">
        <v>0</v>
      </c>
      <c r="J216" t="s">
        <v>53</v>
      </c>
      <c r="K216" s="1">
        <v>43316</v>
      </c>
      <c r="L216" t="s">
        <v>35</v>
      </c>
      <c r="M216" t="s">
        <v>50</v>
      </c>
      <c r="N216" s="1">
        <v>44193</v>
      </c>
      <c r="Q216">
        <v>2.41</v>
      </c>
      <c r="R216">
        <v>23.48</v>
      </c>
      <c r="S216">
        <v>14.35</v>
      </c>
      <c r="T216">
        <v>17.37</v>
      </c>
      <c r="U216">
        <v>10.38</v>
      </c>
      <c r="V216">
        <v>11.16</v>
      </c>
      <c r="Y216">
        <v>2.9</v>
      </c>
      <c r="Z216">
        <v>34.93</v>
      </c>
      <c r="AA216">
        <v>21.26</v>
      </c>
      <c r="AB216">
        <v>29.72</v>
      </c>
    </row>
    <row r="217" spans="1:28" hidden="1" x14ac:dyDescent="0.2">
      <c r="A217" t="s">
        <v>552</v>
      </c>
      <c r="B217" t="s">
        <v>553</v>
      </c>
      <c r="F217">
        <v>56</v>
      </c>
      <c r="G217">
        <v>3.5</v>
      </c>
      <c r="H217">
        <v>0</v>
      </c>
      <c r="I217">
        <v>0</v>
      </c>
      <c r="J217" t="s">
        <v>80</v>
      </c>
      <c r="K217" s="1">
        <v>43716</v>
      </c>
      <c r="L217" t="s">
        <v>26</v>
      </c>
      <c r="M217" t="s">
        <v>238</v>
      </c>
      <c r="N217" s="1">
        <v>44192</v>
      </c>
      <c r="Q217">
        <v>0.02</v>
      </c>
      <c r="R217">
        <v>-2.52</v>
      </c>
      <c r="S217">
        <v>-0.73</v>
      </c>
      <c r="T217">
        <v>6.33</v>
      </c>
      <c r="U217">
        <v>18.45</v>
      </c>
      <c r="V217">
        <v>11.75</v>
      </c>
      <c r="Y217">
        <v>0.9</v>
      </c>
      <c r="Z217">
        <v>3.37</v>
      </c>
      <c r="AA217">
        <v>3.37</v>
      </c>
      <c r="AB217">
        <v>11.43</v>
      </c>
    </row>
    <row r="218" spans="1:28" hidden="1" x14ac:dyDescent="0.2">
      <c r="A218" t="s">
        <v>554</v>
      </c>
      <c r="B218" t="s">
        <v>555</v>
      </c>
      <c r="F218">
        <v>68</v>
      </c>
      <c r="H218">
        <v>1</v>
      </c>
      <c r="I218">
        <v>0</v>
      </c>
      <c r="K218" s="1">
        <v>43316</v>
      </c>
      <c r="L218" t="s">
        <v>35</v>
      </c>
      <c r="M218" t="s">
        <v>129</v>
      </c>
      <c r="N218" s="1">
        <v>44192</v>
      </c>
      <c r="Q218">
        <v>3.09</v>
      </c>
      <c r="R218">
        <v>-15.14</v>
      </c>
      <c r="S218">
        <v>7.53</v>
      </c>
      <c r="T218">
        <v>10.09</v>
      </c>
      <c r="U218">
        <v>12.68</v>
      </c>
      <c r="V218">
        <v>6.31</v>
      </c>
      <c r="Y218">
        <v>0</v>
      </c>
      <c r="Z218">
        <v>11.34</v>
      </c>
      <c r="AA218">
        <v>3.1</v>
      </c>
      <c r="AB218">
        <v>8.3000000000000007</v>
      </c>
    </row>
    <row r="219" spans="1:28" hidden="1" x14ac:dyDescent="0.2">
      <c r="A219" t="s">
        <v>556</v>
      </c>
      <c r="B219" t="s">
        <v>557</v>
      </c>
      <c r="F219">
        <v>52</v>
      </c>
      <c r="H219">
        <v>1</v>
      </c>
      <c r="I219">
        <v>0</v>
      </c>
      <c r="K219" s="1">
        <v>43316</v>
      </c>
      <c r="L219" t="s">
        <v>95</v>
      </c>
      <c r="M219" t="s">
        <v>558</v>
      </c>
      <c r="N219" s="1">
        <v>44192</v>
      </c>
      <c r="Q219">
        <v>1.59</v>
      </c>
      <c r="R219">
        <v>-62.84</v>
      </c>
      <c r="S219">
        <v>-42.47</v>
      </c>
      <c r="T219">
        <v>-22.27</v>
      </c>
      <c r="U219">
        <v>-2.59</v>
      </c>
      <c r="V219" t="s">
        <v>32</v>
      </c>
      <c r="Y219">
        <v>0</v>
      </c>
      <c r="Z219">
        <v>4.01</v>
      </c>
      <c r="AA219">
        <v>0.52</v>
      </c>
      <c r="AB219">
        <v>4.83</v>
      </c>
    </row>
    <row r="220" spans="1:28" hidden="1" x14ac:dyDescent="0.2">
      <c r="A220" t="s">
        <v>559</v>
      </c>
      <c r="B220" t="s">
        <v>560</v>
      </c>
      <c r="F220">
        <v>58</v>
      </c>
      <c r="H220">
        <v>0</v>
      </c>
      <c r="I220">
        <v>0</v>
      </c>
      <c r="K220" s="1">
        <v>43316</v>
      </c>
      <c r="L220" t="s">
        <v>99</v>
      </c>
      <c r="M220" t="s">
        <v>561</v>
      </c>
      <c r="N220" s="1">
        <v>44192</v>
      </c>
      <c r="Q220">
        <v>2.04</v>
      </c>
      <c r="R220">
        <v>26.61</v>
      </c>
      <c r="S220">
        <v>6.26</v>
      </c>
      <c r="T220">
        <v>6.85</v>
      </c>
      <c r="U220">
        <v>9.51</v>
      </c>
      <c r="V220">
        <v>9.1999999999999993</v>
      </c>
      <c r="Y220">
        <v>3.9</v>
      </c>
    </row>
    <row r="221" spans="1:28" hidden="1" x14ac:dyDescent="0.2">
      <c r="A221" t="s">
        <v>562</v>
      </c>
      <c r="B221" t="s">
        <v>563</v>
      </c>
      <c r="J221" t="s">
        <v>68</v>
      </c>
      <c r="L221" t="s">
        <v>95</v>
      </c>
      <c r="M221" t="s">
        <v>542</v>
      </c>
    </row>
    <row r="222" spans="1:28" hidden="1" x14ac:dyDescent="0.2">
      <c r="A222" t="s">
        <v>564</v>
      </c>
      <c r="B222" t="s">
        <v>565</v>
      </c>
      <c r="F222">
        <v>25</v>
      </c>
      <c r="H222">
        <v>0</v>
      </c>
      <c r="I222">
        <v>0</v>
      </c>
      <c r="K222" s="1">
        <v>43316</v>
      </c>
      <c r="L222" t="s">
        <v>30</v>
      </c>
      <c r="M222" t="s">
        <v>369</v>
      </c>
      <c r="N222" s="1">
        <v>44192</v>
      </c>
      <c r="Q222">
        <v>1.0900000000000001</v>
      </c>
      <c r="R222">
        <v>69.88</v>
      </c>
      <c r="S222">
        <v>25.91</v>
      </c>
      <c r="T222">
        <v>52.7</v>
      </c>
      <c r="U222">
        <v>-13.3</v>
      </c>
      <c r="V222">
        <v>-0.82</v>
      </c>
      <c r="Y222">
        <v>0</v>
      </c>
      <c r="Z222">
        <v>-3.38</v>
      </c>
      <c r="AA222">
        <v>-2.0499999999999998</v>
      </c>
      <c r="AB222">
        <v>-20.98</v>
      </c>
    </row>
    <row r="223" spans="1:28" hidden="1" x14ac:dyDescent="0.2">
      <c r="A223" t="s">
        <v>566</v>
      </c>
      <c r="B223" t="s">
        <v>567</v>
      </c>
      <c r="F223">
        <v>76</v>
      </c>
      <c r="I223">
        <v>0</v>
      </c>
      <c r="K223" s="1">
        <v>43316</v>
      </c>
      <c r="L223" t="s">
        <v>226</v>
      </c>
      <c r="M223" t="s">
        <v>243</v>
      </c>
      <c r="N223" s="1">
        <v>44192</v>
      </c>
      <c r="Q223">
        <v>0.65</v>
      </c>
      <c r="R223">
        <v>-51.49</v>
      </c>
      <c r="S223">
        <v>-31.32</v>
      </c>
      <c r="T223">
        <v>-6.74</v>
      </c>
      <c r="U223">
        <v>-5.49</v>
      </c>
      <c r="V223" t="s">
        <v>32</v>
      </c>
      <c r="Y223">
        <v>0</v>
      </c>
      <c r="Z223">
        <v>-10.54</v>
      </c>
      <c r="AA223">
        <v>-2.04</v>
      </c>
      <c r="AB223">
        <v>-4.8899999999999997</v>
      </c>
    </row>
    <row r="224" spans="1:28" hidden="1" x14ac:dyDescent="0.2">
      <c r="A224" s="2" t="s">
        <v>1303</v>
      </c>
      <c r="B224" t="s">
        <v>1304</v>
      </c>
      <c r="F224">
        <v>51</v>
      </c>
      <c r="G224">
        <v>3.5</v>
      </c>
      <c r="J224" t="s">
        <v>80</v>
      </c>
      <c r="K224" s="1">
        <v>43716</v>
      </c>
      <c r="L224" t="s">
        <v>43</v>
      </c>
      <c r="M224" t="s">
        <v>137</v>
      </c>
      <c r="N224" s="1">
        <v>44193</v>
      </c>
      <c r="Q224">
        <v>0.42</v>
      </c>
      <c r="R224">
        <v>95.64</v>
      </c>
      <c r="S224">
        <v>36.49</v>
      </c>
      <c r="T224">
        <v>21.98</v>
      </c>
      <c r="U224">
        <v>35.47</v>
      </c>
      <c r="V224">
        <v>16.22</v>
      </c>
      <c r="Y224">
        <v>0.5</v>
      </c>
      <c r="Z224">
        <v>2.82</v>
      </c>
      <c r="AA224">
        <v>5.78</v>
      </c>
      <c r="AB224">
        <v>22.97</v>
      </c>
    </row>
    <row r="225" spans="1:28" hidden="1" x14ac:dyDescent="0.2">
      <c r="A225" t="s">
        <v>570</v>
      </c>
      <c r="B225" t="s">
        <v>571</v>
      </c>
      <c r="N225" s="1">
        <v>44192</v>
      </c>
      <c r="Q225">
        <v>5.15</v>
      </c>
      <c r="R225">
        <v>9.4499999999999993</v>
      </c>
      <c r="S225">
        <v>1.06</v>
      </c>
      <c r="T225">
        <v>9.66</v>
      </c>
      <c r="U225">
        <v>4.72</v>
      </c>
      <c r="V225">
        <v>5.13</v>
      </c>
      <c r="Y225">
        <v>0</v>
      </c>
      <c r="Z225">
        <v>19.649999999999999</v>
      </c>
      <c r="AA225">
        <v>0.52</v>
      </c>
      <c r="AB225">
        <v>10.029999999999999</v>
      </c>
    </row>
    <row r="226" spans="1:28" hidden="1" x14ac:dyDescent="0.2">
      <c r="A226" t="s">
        <v>572</v>
      </c>
      <c r="B226" t="s">
        <v>573</v>
      </c>
      <c r="F226">
        <v>29</v>
      </c>
      <c r="H226">
        <v>1</v>
      </c>
      <c r="I226">
        <v>0</v>
      </c>
      <c r="K226" s="1">
        <v>43316</v>
      </c>
      <c r="L226" t="s">
        <v>35</v>
      </c>
      <c r="M226" t="s">
        <v>235</v>
      </c>
      <c r="N226" s="1">
        <v>44192</v>
      </c>
      <c r="Q226">
        <v>5.51</v>
      </c>
      <c r="R226">
        <v>-18.350000000000001</v>
      </c>
      <c r="S226">
        <v>-10.39</v>
      </c>
      <c r="T226">
        <v>9.01</v>
      </c>
      <c r="U226">
        <v>4.93</v>
      </c>
      <c r="V226">
        <v>1.84</v>
      </c>
      <c r="Y226">
        <v>0</v>
      </c>
      <c r="Z226">
        <v>17.34</v>
      </c>
      <c r="AA226">
        <v>0.66</v>
      </c>
      <c r="AB226">
        <v>7.04</v>
      </c>
    </row>
    <row r="227" spans="1:28" hidden="1" x14ac:dyDescent="0.2">
      <c r="A227" t="s">
        <v>574</v>
      </c>
      <c r="B227" t="s">
        <v>575</v>
      </c>
      <c r="H227">
        <v>1</v>
      </c>
      <c r="I227">
        <v>0</v>
      </c>
      <c r="J227" t="s">
        <v>68</v>
      </c>
      <c r="K227" s="1">
        <v>43316</v>
      </c>
      <c r="L227" t="s">
        <v>95</v>
      </c>
      <c r="M227" t="s">
        <v>542</v>
      </c>
      <c r="N227" s="1">
        <v>44194</v>
      </c>
      <c r="R227">
        <v>-3.67</v>
      </c>
      <c r="S227">
        <v>-31.07</v>
      </c>
      <c r="T227">
        <v>-24.61</v>
      </c>
      <c r="U227" t="s">
        <v>32</v>
      </c>
      <c r="V227" t="s">
        <v>32</v>
      </c>
      <c r="Y227">
        <v>0</v>
      </c>
      <c r="Z227">
        <v>-15.04</v>
      </c>
      <c r="AA227">
        <v>-6</v>
      </c>
      <c r="AB227">
        <v>-8.8699999999999992</v>
      </c>
    </row>
    <row r="228" spans="1:28" hidden="1" x14ac:dyDescent="0.2">
      <c r="A228" t="s">
        <v>576</v>
      </c>
      <c r="B228" t="s">
        <v>577</v>
      </c>
      <c r="F228">
        <v>58</v>
      </c>
      <c r="H228">
        <v>0</v>
      </c>
      <c r="I228">
        <v>0</v>
      </c>
      <c r="K228" s="1">
        <v>43316</v>
      </c>
      <c r="L228" t="s">
        <v>213</v>
      </c>
      <c r="M228" t="s">
        <v>549</v>
      </c>
      <c r="N228" s="1">
        <v>44192</v>
      </c>
      <c r="Q228">
        <v>1.79</v>
      </c>
      <c r="R228">
        <v>15.16</v>
      </c>
      <c r="S228">
        <v>9.01</v>
      </c>
      <c r="T228">
        <v>13.5</v>
      </c>
      <c r="U228">
        <v>17.53</v>
      </c>
      <c r="V228">
        <v>13.12</v>
      </c>
      <c r="Y228">
        <v>1.4</v>
      </c>
      <c r="Z228">
        <v>9.9</v>
      </c>
      <c r="AA228">
        <v>3.93</v>
      </c>
      <c r="AB228">
        <v>12.56</v>
      </c>
    </row>
    <row r="229" spans="1:28" hidden="1" x14ac:dyDescent="0.2">
      <c r="A229" t="s">
        <v>578</v>
      </c>
      <c r="B229" t="s">
        <v>579</v>
      </c>
      <c r="F229">
        <v>56</v>
      </c>
      <c r="H229">
        <v>1</v>
      </c>
      <c r="I229">
        <v>0</v>
      </c>
      <c r="K229" s="1">
        <v>43316</v>
      </c>
      <c r="L229" t="s">
        <v>35</v>
      </c>
      <c r="M229" t="s">
        <v>580</v>
      </c>
      <c r="N229" s="1">
        <v>44192</v>
      </c>
      <c r="Q229">
        <v>1.89</v>
      </c>
      <c r="R229">
        <v>-8.1</v>
      </c>
      <c r="S229">
        <v>9.93</v>
      </c>
      <c r="T229">
        <v>17.54</v>
      </c>
      <c r="U229">
        <v>13.21</v>
      </c>
      <c r="V229">
        <v>7.64</v>
      </c>
      <c r="Y229">
        <v>5.2</v>
      </c>
      <c r="Z229">
        <v>43.68</v>
      </c>
      <c r="AA229">
        <v>2.1</v>
      </c>
      <c r="AB229">
        <v>8</v>
      </c>
    </row>
    <row r="230" spans="1:28" hidden="1" x14ac:dyDescent="0.2">
      <c r="A230" t="s">
        <v>135</v>
      </c>
      <c r="B230" t="s">
        <v>136</v>
      </c>
      <c r="F230">
        <v>60</v>
      </c>
      <c r="G230">
        <v>3.8</v>
      </c>
      <c r="H230">
        <v>1</v>
      </c>
      <c r="I230">
        <v>0</v>
      </c>
      <c r="J230" t="s">
        <v>80</v>
      </c>
      <c r="K230" s="1">
        <v>43716</v>
      </c>
      <c r="L230" t="s">
        <v>43</v>
      </c>
      <c r="M230" t="s">
        <v>137</v>
      </c>
      <c r="N230" s="1">
        <v>44197</v>
      </c>
      <c r="O230">
        <v>209</v>
      </c>
      <c r="P230" t="s">
        <v>2403</v>
      </c>
      <c r="Q230" t="s">
        <v>32</v>
      </c>
      <c r="R230">
        <v>30.37</v>
      </c>
      <c r="S230">
        <v>31.56</v>
      </c>
      <c r="T230">
        <v>16.66</v>
      </c>
      <c r="U230">
        <v>22.94</v>
      </c>
      <c r="V230">
        <v>15.75</v>
      </c>
      <c r="X230" t="s">
        <v>32</v>
      </c>
      <c r="Y230">
        <v>0.4</v>
      </c>
      <c r="Z230">
        <v>3.08</v>
      </c>
      <c r="AA230">
        <v>6.58</v>
      </c>
      <c r="AB230">
        <v>29.59</v>
      </c>
    </row>
    <row r="231" spans="1:28" hidden="1" x14ac:dyDescent="0.2">
      <c r="A231" t="s">
        <v>583</v>
      </c>
      <c r="B231" t="s">
        <v>584</v>
      </c>
      <c r="F231">
        <v>58</v>
      </c>
      <c r="H231">
        <v>1</v>
      </c>
      <c r="I231">
        <v>0</v>
      </c>
      <c r="K231" s="1">
        <v>43316</v>
      </c>
      <c r="L231" t="s">
        <v>39</v>
      </c>
      <c r="M231" t="s">
        <v>197</v>
      </c>
      <c r="N231" s="1">
        <v>44192</v>
      </c>
      <c r="O231">
        <v>1588</v>
      </c>
      <c r="Q231">
        <v>2.29</v>
      </c>
      <c r="R231">
        <v>27.96</v>
      </c>
      <c r="S231">
        <v>11.12</v>
      </c>
      <c r="T231">
        <v>22.8</v>
      </c>
      <c r="U231">
        <v>8.94</v>
      </c>
      <c r="V231">
        <v>17.75</v>
      </c>
      <c r="X231">
        <v>922</v>
      </c>
      <c r="Y231">
        <v>2.4</v>
      </c>
      <c r="Z231">
        <v>8.1199999999999992</v>
      </c>
      <c r="AA231">
        <v>7.58</v>
      </c>
      <c r="AB231">
        <v>20.48</v>
      </c>
    </row>
    <row r="232" spans="1:28" hidden="1" x14ac:dyDescent="0.2">
      <c r="A232" t="s">
        <v>585</v>
      </c>
      <c r="B232" t="s">
        <v>586</v>
      </c>
      <c r="F232">
        <v>41</v>
      </c>
      <c r="H232">
        <v>1</v>
      </c>
      <c r="I232">
        <v>0</v>
      </c>
      <c r="K232" s="1">
        <v>43316</v>
      </c>
      <c r="L232" t="s">
        <v>113</v>
      </c>
      <c r="M232" t="s">
        <v>124</v>
      </c>
      <c r="N232" s="1">
        <v>44192</v>
      </c>
      <c r="Q232">
        <v>2.65</v>
      </c>
      <c r="R232">
        <v>-4</v>
      </c>
      <c r="S232">
        <v>9.84</v>
      </c>
      <c r="T232">
        <v>12.65</v>
      </c>
      <c r="U232">
        <v>13.9</v>
      </c>
      <c r="V232">
        <v>11.16</v>
      </c>
      <c r="Y232">
        <v>2.8</v>
      </c>
      <c r="Z232">
        <v>11.44</v>
      </c>
      <c r="AA232">
        <v>2.76</v>
      </c>
      <c r="AB232">
        <v>14.87</v>
      </c>
    </row>
    <row r="233" spans="1:28" hidden="1" x14ac:dyDescent="0.2">
      <c r="A233" t="s">
        <v>587</v>
      </c>
      <c r="B233" t="s">
        <v>588</v>
      </c>
      <c r="F233">
        <v>53</v>
      </c>
      <c r="G233">
        <v>3.1</v>
      </c>
      <c r="H233">
        <v>1</v>
      </c>
      <c r="I233">
        <v>0</v>
      </c>
      <c r="J233" t="s">
        <v>68</v>
      </c>
      <c r="K233" s="1">
        <v>43716</v>
      </c>
      <c r="L233" t="s">
        <v>26</v>
      </c>
      <c r="M233" t="s">
        <v>238</v>
      </c>
      <c r="N233" s="1">
        <v>44194</v>
      </c>
      <c r="R233">
        <v>-7.57</v>
      </c>
      <c r="S233">
        <v>4.57</v>
      </c>
      <c r="T233">
        <v>12.24</v>
      </c>
      <c r="U233">
        <v>24.72</v>
      </c>
      <c r="V233">
        <v>15.7</v>
      </c>
      <c r="Y233">
        <v>0.8</v>
      </c>
      <c r="Z233">
        <v>2</v>
      </c>
      <c r="AA233">
        <v>3.95</v>
      </c>
      <c r="AB233">
        <v>10.67</v>
      </c>
    </row>
    <row r="234" spans="1:28" hidden="1" x14ac:dyDescent="0.2">
      <c r="A234" t="s">
        <v>589</v>
      </c>
      <c r="B234" t="s">
        <v>590</v>
      </c>
      <c r="F234">
        <v>47</v>
      </c>
      <c r="G234">
        <v>3.5</v>
      </c>
      <c r="K234" s="1">
        <v>43716</v>
      </c>
      <c r="L234" t="s">
        <v>39</v>
      </c>
      <c r="M234" t="s">
        <v>134</v>
      </c>
      <c r="N234" s="1">
        <v>44194</v>
      </c>
      <c r="R234">
        <v>15.65</v>
      </c>
      <c r="S234">
        <v>-0.56999999999999995</v>
      </c>
      <c r="T234">
        <v>13.81</v>
      </c>
      <c r="U234" t="s">
        <v>32</v>
      </c>
      <c r="V234" t="s">
        <v>32</v>
      </c>
      <c r="Y234">
        <v>13</v>
      </c>
      <c r="Z234">
        <v>-2.15</v>
      </c>
      <c r="AA234">
        <v>-1.2</v>
      </c>
      <c r="AB234">
        <v>-10.029999999999999</v>
      </c>
    </row>
    <row r="235" spans="1:28" hidden="1" x14ac:dyDescent="0.2">
      <c r="A235" s="2" t="s">
        <v>1976</v>
      </c>
      <c r="B235" t="s">
        <v>1977</v>
      </c>
      <c r="F235">
        <v>87</v>
      </c>
      <c r="G235">
        <v>4</v>
      </c>
      <c r="N235" s="1">
        <v>44197</v>
      </c>
      <c r="O235">
        <v>-598</v>
      </c>
      <c r="P235" t="s">
        <v>2403</v>
      </c>
      <c r="Q235" t="s">
        <v>32</v>
      </c>
      <c r="R235">
        <v>434.1</v>
      </c>
      <c r="S235" t="s">
        <v>32</v>
      </c>
      <c r="T235" t="s">
        <v>32</v>
      </c>
      <c r="U235" t="s">
        <v>32</v>
      </c>
      <c r="V235" t="s">
        <v>32</v>
      </c>
      <c r="X235">
        <v>729</v>
      </c>
      <c r="Y235">
        <v>0</v>
      </c>
      <c r="Z235">
        <v>-242.34</v>
      </c>
      <c r="AA235">
        <v>-19.16</v>
      </c>
      <c r="AB235">
        <v>-29.81</v>
      </c>
    </row>
    <row r="236" spans="1:28" hidden="1" x14ac:dyDescent="0.2">
      <c r="A236" t="s">
        <v>594</v>
      </c>
      <c r="B236" t="s">
        <v>595</v>
      </c>
      <c r="F236">
        <v>42</v>
      </c>
      <c r="H236">
        <v>0</v>
      </c>
      <c r="I236">
        <v>0</v>
      </c>
      <c r="K236" s="1">
        <v>43316</v>
      </c>
      <c r="L236" t="s">
        <v>43</v>
      </c>
      <c r="M236" t="s">
        <v>596</v>
      </c>
      <c r="N236" s="1">
        <v>44192</v>
      </c>
      <c r="Q236">
        <v>4.53</v>
      </c>
      <c r="R236">
        <v>-50.38</v>
      </c>
      <c r="S236">
        <v>-18.420000000000002</v>
      </c>
      <c r="T236">
        <v>-7.64</v>
      </c>
      <c r="U236">
        <v>4.03</v>
      </c>
      <c r="V236" t="s">
        <v>32</v>
      </c>
      <c r="Y236">
        <v>0</v>
      </c>
      <c r="Z236">
        <v>-25.23</v>
      </c>
      <c r="AA236">
        <v>-6.01</v>
      </c>
      <c r="AB236">
        <v>-27.89</v>
      </c>
    </row>
    <row r="237" spans="1:28" hidden="1" x14ac:dyDescent="0.2">
      <c r="A237" t="s">
        <v>597</v>
      </c>
      <c r="B237" t="s">
        <v>598</v>
      </c>
      <c r="F237">
        <v>77</v>
      </c>
      <c r="H237">
        <v>1</v>
      </c>
      <c r="I237">
        <v>0</v>
      </c>
      <c r="K237" s="1">
        <v>43316</v>
      </c>
      <c r="L237" t="s">
        <v>113</v>
      </c>
      <c r="M237" t="s">
        <v>599</v>
      </c>
      <c r="N237" s="1">
        <v>44192</v>
      </c>
      <c r="Q237">
        <v>3.19</v>
      </c>
      <c r="R237">
        <v>-16.59</v>
      </c>
      <c r="S237">
        <v>-4.33</v>
      </c>
      <c r="T237">
        <v>8.06</v>
      </c>
      <c r="U237">
        <v>6.92</v>
      </c>
      <c r="V237">
        <v>6.72</v>
      </c>
      <c r="Y237">
        <v>0</v>
      </c>
      <c r="Z237">
        <v>-8.02</v>
      </c>
      <c r="AA237">
        <v>-2.89</v>
      </c>
      <c r="AB237">
        <v>-15.5</v>
      </c>
    </row>
    <row r="238" spans="1:28" hidden="1" x14ac:dyDescent="0.2">
      <c r="A238" t="s">
        <v>600</v>
      </c>
      <c r="B238" t="s">
        <v>601</v>
      </c>
      <c r="N238" s="1">
        <v>44192</v>
      </c>
      <c r="Q238">
        <v>7.36</v>
      </c>
      <c r="R238">
        <v>-13.12</v>
      </c>
      <c r="S238">
        <v>12.2</v>
      </c>
      <c r="T238">
        <v>10.77</v>
      </c>
      <c r="U238">
        <v>6.97</v>
      </c>
      <c r="V238" t="s">
        <v>32</v>
      </c>
      <c r="Y238">
        <v>0</v>
      </c>
      <c r="Z238">
        <v>3.46</v>
      </c>
      <c r="AA238">
        <v>2.36</v>
      </c>
      <c r="AB238">
        <v>6.16</v>
      </c>
    </row>
    <row r="239" spans="1:28" hidden="1" x14ac:dyDescent="0.2">
      <c r="A239" s="2" t="s">
        <v>1414</v>
      </c>
      <c r="B239" t="s">
        <v>1415</v>
      </c>
      <c r="H239">
        <v>1</v>
      </c>
      <c r="I239">
        <v>0</v>
      </c>
      <c r="J239" t="s">
        <v>1029</v>
      </c>
      <c r="L239" t="s">
        <v>95</v>
      </c>
      <c r="M239" t="s">
        <v>542</v>
      </c>
      <c r="N239" s="1">
        <v>44197</v>
      </c>
      <c r="O239">
        <v>-6895</v>
      </c>
      <c r="P239" t="s">
        <v>2403</v>
      </c>
      <c r="Q239" t="s">
        <v>32</v>
      </c>
      <c r="R239">
        <v>71.489999999999995</v>
      </c>
      <c r="S239" t="s">
        <v>32</v>
      </c>
      <c r="T239" t="s">
        <v>32</v>
      </c>
      <c r="U239" t="s">
        <v>32</v>
      </c>
      <c r="V239" t="s">
        <v>32</v>
      </c>
      <c r="X239">
        <v>2330</v>
      </c>
      <c r="Y239">
        <v>0</v>
      </c>
      <c r="Z239">
        <v>-53.11</v>
      </c>
      <c r="AA239">
        <v>-22.54</v>
      </c>
      <c r="AB239">
        <v>-57.45</v>
      </c>
    </row>
    <row r="240" spans="1:28" hidden="1" x14ac:dyDescent="0.2">
      <c r="A240" t="s">
        <v>604</v>
      </c>
      <c r="B240" t="s">
        <v>605</v>
      </c>
      <c r="F240">
        <v>62</v>
      </c>
      <c r="H240">
        <v>1</v>
      </c>
      <c r="I240">
        <v>0</v>
      </c>
      <c r="K240" s="1">
        <v>43316</v>
      </c>
      <c r="L240" t="s">
        <v>35</v>
      </c>
      <c r="M240" t="s">
        <v>106</v>
      </c>
      <c r="N240" s="1">
        <v>44192</v>
      </c>
      <c r="Q240">
        <v>1.17</v>
      </c>
      <c r="R240">
        <v>-4.5199999999999996</v>
      </c>
      <c r="S240">
        <v>0.33</v>
      </c>
      <c r="T240">
        <v>7.33</v>
      </c>
      <c r="U240">
        <v>9.89</v>
      </c>
      <c r="V240">
        <v>1.57</v>
      </c>
      <c r="Y240">
        <v>0</v>
      </c>
      <c r="Z240">
        <v>3.4</v>
      </c>
      <c r="AA240">
        <v>0.24</v>
      </c>
      <c r="AB240">
        <v>1.63</v>
      </c>
    </row>
    <row r="241" spans="1:28" hidden="1" x14ac:dyDescent="0.2">
      <c r="A241" t="s">
        <v>606</v>
      </c>
      <c r="B241" t="s">
        <v>607</v>
      </c>
      <c r="F241">
        <v>55</v>
      </c>
      <c r="H241">
        <v>1</v>
      </c>
      <c r="I241">
        <v>0</v>
      </c>
      <c r="K241" s="1">
        <v>43316</v>
      </c>
      <c r="L241" t="s">
        <v>226</v>
      </c>
      <c r="M241" t="s">
        <v>243</v>
      </c>
      <c r="N241" s="1">
        <v>44192</v>
      </c>
      <c r="Q241">
        <v>2.2799999999999998</v>
      </c>
      <c r="R241">
        <v>-0.56999999999999995</v>
      </c>
      <c r="S241">
        <v>-13.37</v>
      </c>
      <c r="T241">
        <v>0.55000000000000004</v>
      </c>
      <c r="U241">
        <v>7.18</v>
      </c>
      <c r="V241">
        <v>7.96</v>
      </c>
      <c r="Y241">
        <v>3.9</v>
      </c>
      <c r="Z241">
        <v>14.7</v>
      </c>
      <c r="AA241">
        <v>4.88</v>
      </c>
      <c r="AB241">
        <v>9.98</v>
      </c>
    </row>
    <row r="242" spans="1:28" hidden="1" x14ac:dyDescent="0.2">
      <c r="A242" t="s">
        <v>610</v>
      </c>
      <c r="B242" t="s">
        <v>611</v>
      </c>
      <c r="F242">
        <v>50</v>
      </c>
      <c r="H242">
        <v>0</v>
      </c>
      <c r="I242">
        <v>0</v>
      </c>
      <c r="K242" s="1">
        <v>43316</v>
      </c>
      <c r="L242" t="s">
        <v>43</v>
      </c>
      <c r="M242" t="s">
        <v>85</v>
      </c>
      <c r="N242" s="1">
        <v>44192</v>
      </c>
      <c r="Q242">
        <v>0.61</v>
      </c>
      <c r="R242">
        <v>-9.64</v>
      </c>
      <c r="S242">
        <v>8.82</v>
      </c>
      <c r="T242">
        <v>14.98</v>
      </c>
      <c r="U242">
        <v>12.18</v>
      </c>
      <c r="V242">
        <v>9.98</v>
      </c>
      <c r="Y242">
        <v>0</v>
      </c>
      <c r="Z242">
        <v>4.97</v>
      </c>
      <c r="AA242">
        <v>4.67</v>
      </c>
      <c r="AB242">
        <v>7.28</v>
      </c>
    </row>
    <row r="243" spans="1:28" hidden="1" x14ac:dyDescent="0.2">
      <c r="A243" t="s">
        <v>637</v>
      </c>
      <c r="B243" t="s">
        <v>638</v>
      </c>
      <c r="F243">
        <v>61</v>
      </c>
      <c r="H243">
        <v>1</v>
      </c>
      <c r="I243">
        <v>0</v>
      </c>
      <c r="K243" s="1">
        <v>43316</v>
      </c>
      <c r="L243" t="s">
        <v>39</v>
      </c>
      <c r="M243" t="s">
        <v>197</v>
      </c>
      <c r="N243" s="1">
        <v>44197</v>
      </c>
      <c r="O243">
        <v>-159</v>
      </c>
      <c r="P243" t="s">
        <v>2403</v>
      </c>
      <c r="Q243" t="s">
        <v>32</v>
      </c>
      <c r="R243">
        <v>24.21</v>
      </c>
      <c r="S243">
        <v>10.32</v>
      </c>
      <c r="T243" t="s">
        <v>32</v>
      </c>
      <c r="U243" t="s">
        <v>32</v>
      </c>
      <c r="V243" t="s">
        <v>32</v>
      </c>
      <c r="X243" t="s">
        <v>32</v>
      </c>
      <c r="Y243">
        <v>2.2999999999999998</v>
      </c>
      <c r="Z243">
        <v>-3.97</v>
      </c>
      <c r="AA243">
        <v>-1.58</v>
      </c>
      <c r="AB243">
        <v>-3.01</v>
      </c>
    </row>
    <row r="244" spans="1:28" hidden="1" x14ac:dyDescent="0.2">
      <c r="A244" t="s">
        <v>614</v>
      </c>
      <c r="B244" t="s">
        <v>615</v>
      </c>
      <c r="F244">
        <v>32</v>
      </c>
      <c r="H244">
        <v>1</v>
      </c>
      <c r="I244">
        <v>0</v>
      </c>
      <c r="K244" s="1">
        <v>43316</v>
      </c>
      <c r="L244" t="s">
        <v>226</v>
      </c>
      <c r="M244" t="s">
        <v>243</v>
      </c>
      <c r="N244" s="1">
        <v>44192</v>
      </c>
      <c r="Q244">
        <v>4.2699999999999996</v>
      </c>
      <c r="R244">
        <v>-36.32</v>
      </c>
      <c r="S244">
        <v>-7.68</v>
      </c>
      <c r="T244">
        <v>-1.2</v>
      </c>
      <c r="U244">
        <v>1.07</v>
      </c>
      <c r="V244">
        <v>2.34</v>
      </c>
      <c r="Y244">
        <v>0</v>
      </c>
      <c r="Z244">
        <v>-5.76</v>
      </c>
      <c r="AA244">
        <v>-1.81</v>
      </c>
      <c r="AB244">
        <v>-3.67</v>
      </c>
    </row>
    <row r="245" spans="1:28" hidden="1" x14ac:dyDescent="0.2">
      <c r="A245" t="s">
        <v>616</v>
      </c>
      <c r="B245" t="s">
        <v>617</v>
      </c>
      <c r="F245">
        <v>42</v>
      </c>
      <c r="H245">
        <v>1</v>
      </c>
      <c r="I245">
        <v>0</v>
      </c>
      <c r="K245" s="1">
        <v>43316</v>
      </c>
      <c r="L245" t="s">
        <v>99</v>
      </c>
      <c r="M245" t="s">
        <v>618</v>
      </c>
      <c r="N245" s="1">
        <v>44192</v>
      </c>
      <c r="Q245">
        <v>1.57</v>
      </c>
      <c r="R245">
        <v>14.7</v>
      </c>
      <c r="S245">
        <v>1.2</v>
      </c>
      <c r="T245">
        <v>-5.31</v>
      </c>
      <c r="U245">
        <v>13.71</v>
      </c>
      <c r="V245">
        <v>9.83</v>
      </c>
      <c r="Y245">
        <v>0</v>
      </c>
      <c r="Z245">
        <v>0.36</v>
      </c>
      <c r="AA245">
        <v>2.92</v>
      </c>
      <c r="AB245">
        <v>9.98</v>
      </c>
    </row>
    <row r="246" spans="1:28" hidden="1" x14ac:dyDescent="0.2">
      <c r="A246" s="2" t="s">
        <v>2304</v>
      </c>
      <c r="B246" t="s">
        <v>2305</v>
      </c>
      <c r="H246">
        <v>0</v>
      </c>
      <c r="I246">
        <v>0</v>
      </c>
      <c r="L246" t="s">
        <v>95</v>
      </c>
      <c r="M246" t="s">
        <v>542</v>
      </c>
      <c r="N246" s="1">
        <v>44194</v>
      </c>
      <c r="R246">
        <v>92.32</v>
      </c>
      <c r="S246" t="s">
        <v>32</v>
      </c>
      <c r="T246" t="s">
        <v>32</v>
      </c>
      <c r="U246" t="s">
        <v>32</v>
      </c>
      <c r="V246" t="s">
        <v>32</v>
      </c>
      <c r="Y246">
        <v>0</v>
      </c>
      <c r="Z246">
        <v>-36.869999999999997</v>
      </c>
      <c r="AA246">
        <v>-17.59</v>
      </c>
      <c r="AB246">
        <v>-38.75</v>
      </c>
    </row>
    <row r="247" spans="1:28" hidden="1" x14ac:dyDescent="0.2">
      <c r="A247" t="s">
        <v>622</v>
      </c>
      <c r="B247" t="s">
        <v>623</v>
      </c>
      <c r="F247">
        <v>27</v>
      </c>
      <c r="H247">
        <v>1</v>
      </c>
      <c r="I247">
        <v>0</v>
      </c>
      <c r="K247" s="1">
        <v>43316</v>
      </c>
      <c r="L247" t="s">
        <v>99</v>
      </c>
      <c r="M247" t="s">
        <v>561</v>
      </c>
      <c r="N247" s="1">
        <v>44192</v>
      </c>
      <c r="Q247">
        <v>3.48</v>
      </c>
      <c r="R247">
        <v>-33.229999999999997</v>
      </c>
      <c r="S247">
        <v>-25.31</v>
      </c>
      <c r="T247">
        <v>-19</v>
      </c>
      <c r="U247" t="s">
        <v>32</v>
      </c>
      <c r="V247" t="s">
        <v>32</v>
      </c>
      <c r="Y247">
        <v>0</v>
      </c>
      <c r="Z247">
        <v>-19.52</v>
      </c>
      <c r="AA247">
        <v>-4.93</v>
      </c>
      <c r="AB247">
        <v>-22.59</v>
      </c>
    </row>
    <row r="248" spans="1:28" hidden="1" x14ac:dyDescent="0.2">
      <c r="A248" t="s">
        <v>624</v>
      </c>
      <c r="B248" t="s">
        <v>625</v>
      </c>
      <c r="F248">
        <v>44</v>
      </c>
      <c r="H248">
        <v>0</v>
      </c>
      <c r="I248">
        <v>0</v>
      </c>
      <c r="K248" s="1">
        <v>43316</v>
      </c>
      <c r="L248" t="s">
        <v>99</v>
      </c>
      <c r="M248" t="s">
        <v>457</v>
      </c>
      <c r="N248" s="1">
        <v>44192</v>
      </c>
      <c r="O248">
        <v>1771</v>
      </c>
      <c r="Q248">
        <v>2.8</v>
      </c>
      <c r="R248">
        <v>1.46</v>
      </c>
      <c r="S248">
        <v>2.65</v>
      </c>
      <c r="T248">
        <v>0.78</v>
      </c>
      <c r="U248">
        <v>5.9</v>
      </c>
      <c r="V248">
        <v>5.32</v>
      </c>
      <c r="X248">
        <v>91</v>
      </c>
      <c r="Y248">
        <v>1.1000000000000001</v>
      </c>
      <c r="Z248">
        <v>20.02</v>
      </c>
      <c r="AA248">
        <v>13.88</v>
      </c>
      <c r="AB248">
        <v>88.37</v>
      </c>
    </row>
    <row r="249" spans="1:28" hidden="1" x14ac:dyDescent="0.2">
      <c r="A249" s="2" t="s">
        <v>1616</v>
      </c>
      <c r="B249" t="s">
        <v>1617</v>
      </c>
      <c r="F249">
        <v>56</v>
      </c>
      <c r="G249">
        <v>4.2</v>
      </c>
      <c r="N249" s="1">
        <v>44197</v>
      </c>
      <c r="O249">
        <v>-1048</v>
      </c>
      <c r="P249" t="s">
        <v>2403</v>
      </c>
      <c r="Q249" t="s">
        <v>32</v>
      </c>
      <c r="R249" t="s">
        <v>32</v>
      </c>
      <c r="S249" t="s">
        <v>32</v>
      </c>
      <c r="T249" t="s">
        <v>32</v>
      </c>
      <c r="U249" t="s">
        <v>32</v>
      </c>
      <c r="V249" t="s">
        <v>32</v>
      </c>
      <c r="X249">
        <v>974</v>
      </c>
      <c r="Y249">
        <v>0</v>
      </c>
      <c r="Z249">
        <v>-28.92</v>
      </c>
      <c r="AA249">
        <v>-12.01</v>
      </c>
      <c r="AB249">
        <v>-326.38</v>
      </c>
    </row>
    <row r="250" spans="1:28" hidden="1" x14ac:dyDescent="0.2">
      <c r="A250" t="s">
        <v>628</v>
      </c>
      <c r="B250" t="s">
        <v>629</v>
      </c>
      <c r="H250">
        <v>1</v>
      </c>
      <c r="I250">
        <v>0</v>
      </c>
      <c r="K250" s="1">
        <v>43316</v>
      </c>
      <c r="L250" t="s">
        <v>71</v>
      </c>
      <c r="M250" t="s">
        <v>149</v>
      </c>
      <c r="N250" s="1">
        <v>44192</v>
      </c>
      <c r="Q250">
        <v>3.33</v>
      </c>
      <c r="R250">
        <v>-3</v>
      </c>
      <c r="S250">
        <v>6.01</v>
      </c>
      <c r="T250">
        <v>9.1999999999999993</v>
      </c>
      <c r="U250">
        <v>9.44</v>
      </c>
      <c r="V250">
        <v>6.17</v>
      </c>
      <c r="Y250">
        <v>0</v>
      </c>
      <c r="Z250">
        <v>18.100000000000001</v>
      </c>
      <c r="AA250">
        <v>2.71</v>
      </c>
      <c r="AB250">
        <v>5.35</v>
      </c>
    </row>
    <row r="251" spans="1:28" hidden="1" x14ac:dyDescent="0.2">
      <c r="A251" t="s">
        <v>327</v>
      </c>
      <c r="B251" t="s">
        <v>328</v>
      </c>
      <c r="F251">
        <v>62</v>
      </c>
      <c r="H251">
        <v>1</v>
      </c>
      <c r="I251">
        <v>0</v>
      </c>
      <c r="K251" s="1">
        <v>43316</v>
      </c>
      <c r="L251" t="s">
        <v>39</v>
      </c>
      <c r="M251" t="s">
        <v>329</v>
      </c>
      <c r="N251" s="1">
        <v>44192</v>
      </c>
      <c r="Q251">
        <v>1.43</v>
      </c>
      <c r="R251">
        <v>24.52</v>
      </c>
      <c r="S251">
        <v>32.630000000000003</v>
      </c>
      <c r="T251">
        <v>24.09</v>
      </c>
      <c r="U251">
        <v>18.48</v>
      </c>
      <c r="V251" t="s">
        <v>32</v>
      </c>
      <c r="Y251">
        <v>0</v>
      </c>
      <c r="Z251">
        <v>6.6</v>
      </c>
      <c r="AA251">
        <v>10.45</v>
      </c>
      <c r="AB251">
        <v>56.82</v>
      </c>
    </row>
    <row r="252" spans="1:28" hidden="1" x14ac:dyDescent="0.2">
      <c r="A252" s="2" t="s">
        <v>1651</v>
      </c>
      <c r="B252" t="s">
        <v>1652</v>
      </c>
      <c r="J252" t="s">
        <v>80</v>
      </c>
      <c r="N252" s="1">
        <v>44197</v>
      </c>
      <c r="O252">
        <v>-2567</v>
      </c>
      <c r="P252" t="s">
        <v>2403</v>
      </c>
      <c r="Q252" t="s">
        <v>32</v>
      </c>
      <c r="R252">
        <v>360.37</v>
      </c>
      <c r="S252" t="s">
        <v>32</v>
      </c>
      <c r="T252" t="s">
        <v>32</v>
      </c>
      <c r="U252" t="s">
        <v>32</v>
      </c>
      <c r="V252" t="s">
        <v>32</v>
      </c>
      <c r="X252">
        <v>1274</v>
      </c>
      <c r="Y252">
        <v>0</v>
      </c>
      <c r="Z252">
        <v>-25.25</v>
      </c>
      <c r="AA252">
        <v>-12.77</v>
      </c>
      <c r="AB252">
        <v>-32.58</v>
      </c>
    </row>
    <row r="253" spans="1:28" hidden="1" x14ac:dyDescent="0.2">
      <c r="A253" s="2" t="s">
        <v>2377</v>
      </c>
      <c r="B253" t="s">
        <v>2378</v>
      </c>
      <c r="N253" s="1">
        <v>44194</v>
      </c>
      <c r="R253">
        <v>79.87</v>
      </c>
      <c r="S253">
        <v>60.17</v>
      </c>
      <c r="T253">
        <v>39.31</v>
      </c>
      <c r="U253" t="s">
        <v>32</v>
      </c>
      <c r="V253" t="s">
        <v>32</v>
      </c>
      <c r="Y253">
        <v>2.8</v>
      </c>
      <c r="Z253">
        <v>-18.89</v>
      </c>
      <c r="AA253">
        <v>-10.49</v>
      </c>
      <c r="AB253">
        <v>-42.5</v>
      </c>
    </row>
    <row r="254" spans="1:28" hidden="1" x14ac:dyDescent="0.2">
      <c r="A254" t="s">
        <v>635</v>
      </c>
      <c r="B254" t="s">
        <v>636</v>
      </c>
      <c r="F254">
        <v>64</v>
      </c>
      <c r="H254">
        <v>0</v>
      </c>
      <c r="I254">
        <v>0</v>
      </c>
      <c r="K254" s="1">
        <v>43316</v>
      </c>
      <c r="L254" t="s">
        <v>95</v>
      </c>
      <c r="M254" t="s">
        <v>410</v>
      </c>
      <c r="N254" s="1">
        <v>44192</v>
      </c>
      <c r="O254">
        <v>10462</v>
      </c>
      <c r="Q254">
        <v>3.32</v>
      </c>
      <c r="R254">
        <v>-3.79</v>
      </c>
      <c r="S254">
        <v>7.81</v>
      </c>
      <c r="T254">
        <v>12.99</v>
      </c>
      <c r="U254">
        <v>10.44</v>
      </c>
      <c r="V254">
        <v>7.75</v>
      </c>
      <c r="X254">
        <v>6293</v>
      </c>
      <c r="Y254">
        <v>2.9</v>
      </c>
      <c r="Z254">
        <v>21.76</v>
      </c>
      <c r="AA254">
        <v>11.16</v>
      </c>
      <c r="AB254">
        <v>28.83</v>
      </c>
    </row>
    <row r="255" spans="1:28" hidden="1" x14ac:dyDescent="0.2">
      <c r="A255" s="2" t="s">
        <v>535</v>
      </c>
      <c r="B255" t="s">
        <v>536</v>
      </c>
      <c r="H255">
        <v>1</v>
      </c>
      <c r="I255">
        <v>0</v>
      </c>
      <c r="J255" t="s">
        <v>53</v>
      </c>
      <c r="K255" s="1">
        <v>43316</v>
      </c>
      <c r="L255" t="s">
        <v>43</v>
      </c>
      <c r="M255" t="s">
        <v>537</v>
      </c>
      <c r="N255" s="1">
        <v>44192</v>
      </c>
      <c r="Q255">
        <v>0.32</v>
      </c>
      <c r="R255">
        <v>55.51</v>
      </c>
      <c r="S255">
        <v>40.24</v>
      </c>
      <c r="T255">
        <v>34.85</v>
      </c>
      <c r="U255">
        <v>30.69</v>
      </c>
      <c r="V255">
        <v>20.63</v>
      </c>
      <c r="Y255">
        <v>0</v>
      </c>
      <c r="Z255">
        <v>-8.99</v>
      </c>
      <c r="AA255">
        <v>-3.26</v>
      </c>
      <c r="AB255">
        <v>-20.59</v>
      </c>
    </row>
    <row r="256" spans="1:28" hidden="1" x14ac:dyDescent="0.2">
      <c r="A256" t="s">
        <v>219</v>
      </c>
      <c r="B256" t="s">
        <v>220</v>
      </c>
      <c r="F256">
        <v>64</v>
      </c>
      <c r="H256">
        <v>1</v>
      </c>
      <c r="I256">
        <v>0</v>
      </c>
      <c r="J256" t="s">
        <v>53</v>
      </c>
      <c r="K256" s="1">
        <v>43316</v>
      </c>
      <c r="L256" t="s">
        <v>35</v>
      </c>
      <c r="M256" t="s">
        <v>221</v>
      </c>
      <c r="N256" s="1">
        <v>44197</v>
      </c>
      <c r="O256">
        <v>282856</v>
      </c>
      <c r="P256" t="s">
        <v>2403</v>
      </c>
      <c r="Q256" t="s">
        <v>32</v>
      </c>
      <c r="R256">
        <v>14.03</v>
      </c>
      <c r="S256">
        <v>12.8</v>
      </c>
      <c r="T256">
        <v>18.98</v>
      </c>
      <c r="U256">
        <v>16.07</v>
      </c>
      <c r="V256">
        <v>19.579999999999998</v>
      </c>
      <c r="X256" t="s">
        <v>32</v>
      </c>
      <c r="Y256">
        <v>0</v>
      </c>
      <c r="Z256">
        <v>33.909999999999997</v>
      </c>
      <c r="AA256">
        <v>1.88</v>
      </c>
      <c r="AB256">
        <v>15.75</v>
      </c>
    </row>
    <row r="257" spans="1:28" hidden="1" x14ac:dyDescent="0.2">
      <c r="A257" t="s">
        <v>1323</v>
      </c>
      <c r="B257" t="s">
        <v>1324</v>
      </c>
      <c r="F257">
        <v>64</v>
      </c>
      <c r="H257">
        <v>1</v>
      </c>
      <c r="I257">
        <v>0</v>
      </c>
      <c r="J257" t="s">
        <v>80</v>
      </c>
      <c r="K257" s="1">
        <v>43316</v>
      </c>
      <c r="L257" t="s">
        <v>95</v>
      </c>
      <c r="M257" t="s">
        <v>187</v>
      </c>
      <c r="N257" s="1">
        <v>44193</v>
      </c>
      <c r="O257">
        <v>1291</v>
      </c>
      <c r="Q257">
        <v>1.39</v>
      </c>
      <c r="R257">
        <v>47.43</v>
      </c>
      <c r="S257">
        <v>34.92</v>
      </c>
      <c r="T257">
        <v>31.46</v>
      </c>
      <c r="U257">
        <v>22.36</v>
      </c>
      <c r="V257">
        <v>12.54</v>
      </c>
      <c r="X257">
        <v>872</v>
      </c>
      <c r="Y257">
        <v>2.6</v>
      </c>
      <c r="Z257">
        <v>21.76</v>
      </c>
      <c r="AA257">
        <v>13.92</v>
      </c>
      <c r="AB257">
        <v>47.73</v>
      </c>
    </row>
    <row r="258" spans="1:28" hidden="1" x14ac:dyDescent="0.2">
      <c r="A258" s="2" t="s">
        <v>1238</v>
      </c>
      <c r="B258" t="s">
        <v>1239</v>
      </c>
      <c r="F258">
        <v>78</v>
      </c>
      <c r="G258">
        <v>4.2</v>
      </c>
      <c r="J258" t="s">
        <v>80</v>
      </c>
      <c r="L258" t="s">
        <v>71</v>
      </c>
      <c r="M258" t="s">
        <v>493</v>
      </c>
      <c r="N258" s="1">
        <v>44197</v>
      </c>
      <c r="O258">
        <v>-309</v>
      </c>
      <c r="P258" t="s">
        <v>2403</v>
      </c>
      <c r="Q258" t="s">
        <v>32</v>
      </c>
      <c r="R258">
        <v>197.2</v>
      </c>
      <c r="S258">
        <v>49.43</v>
      </c>
      <c r="T258">
        <v>39.17</v>
      </c>
      <c r="U258" t="s">
        <v>32</v>
      </c>
      <c r="V258" t="s">
        <v>32</v>
      </c>
      <c r="X258">
        <v>516</v>
      </c>
      <c r="Y258">
        <v>0</v>
      </c>
      <c r="Z258">
        <v>-8.85</v>
      </c>
      <c r="AA258">
        <v>-4.79</v>
      </c>
      <c r="AB258">
        <v>-7.98</v>
      </c>
    </row>
    <row r="259" spans="1:28" hidden="1" x14ac:dyDescent="0.2">
      <c r="A259" t="s">
        <v>644</v>
      </c>
      <c r="B259" t="s">
        <v>645</v>
      </c>
      <c r="F259">
        <v>30</v>
      </c>
      <c r="H259">
        <v>1</v>
      </c>
      <c r="I259">
        <v>0</v>
      </c>
      <c r="K259" s="1">
        <v>43316</v>
      </c>
      <c r="L259" t="s">
        <v>213</v>
      </c>
      <c r="M259" t="s">
        <v>214</v>
      </c>
      <c r="N259" s="1">
        <v>44192</v>
      </c>
      <c r="R259">
        <v>-22.22</v>
      </c>
      <c r="S259">
        <v>31.13</v>
      </c>
      <c r="T259">
        <v>15.51</v>
      </c>
      <c r="U259">
        <v>-3.53</v>
      </c>
      <c r="V259">
        <v>-8.84</v>
      </c>
      <c r="Y259">
        <v>0</v>
      </c>
      <c r="Z259">
        <v>-28.73</v>
      </c>
      <c r="AA259">
        <v>-13.11</v>
      </c>
      <c r="AB259">
        <v>-17.420000000000002</v>
      </c>
    </row>
    <row r="260" spans="1:28" hidden="1" x14ac:dyDescent="0.2">
      <c r="A260" t="s">
        <v>646</v>
      </c>
      <c r="B260" t="s">
        <v>647</v>
      </c>
      <c r="H260">
        <v>1</v>
      </c>
      <c r="I260">
        <v>0</v>
      </c>
      <c r="J260" t="s">
        <v>68</v>
      </c>
      <c r="K260" s="1">
        <v>43316</v>
      </c>
      <c r="L260" t="s">
        <v>71</v>
      </c>
      <c r="M260" t="s">
        <v>648</v>
      </c>
      <c r="N260" s="1">
        <v>44192</v>
      </c>
      <c r="Q260">
        <v>5.0199999999999996</v>
      </c>
      <c r="R260">
        <v>13.79</v>
      </c>
      <c r="S260">
        <v>13.41</v>
      </c>
      <c r="T260">
        <v>19.149999999999999</v>
      </c>
      <c r="U260" t="s">
        <v>32</v>
      </c>
      <c r="V260" t="s">
        <v>32</v>
      </c>
      <c r="Y260">
        <v>0</v>
      </c>
      <c r="Z260">
        <v>46.03</v>
      </c>
      <c r="AA260">
        <v>5.38</v>
      </c>
      <c r="AB260">
        <v>8.6999999999999993</v>
      </c>
    </row>
    <row r="261" spans="1:28" hidden="1" x14ac:dyDescent="0.2">
      <c r="A261" t="s">
        <v>649</v>
      </c>
      <c r="B261" t="s">
        <v>650</v>
      </c>
      <c r="L261" t="s">
        <v>43</v>
      </c>
      <c r="M261" t="s">
        <v>507</v>
      </c>
      <c r="N261" s="1">
        <v>44192</v>
      </c>
      <c r="R261">
        <v>-14.56</v>
      </c>
      <c r="S261">
        <v>-10.92</v>
      </c>
      <c r="T261" t="s">
        <v>32</v>
      </c>
      <c r="U261" t="s">
        <v>32</v>
      </c>
      <c r="V261" t="s">
        <v>32</v>
      </c>
      <c r="Y261">
        <v>3.6</v>
      </c>
      <c r="Z261">
        <v>-9.17</v>
      </c>
      <c r="AA261">
        <v>-1.52</v>
      </c>
      <c r="AB261">
        <v>-3.12</v>
      </c>
    </row>
    <row r="262" spans="1:28" hidden="1" x14ac:dyDescent="0.2">
      <c r="A262" t="s">
        <v>651</v>
      </c>
      <c r="B262" t="s">
        <v>652</v>
      </c>
      <c r="F262">
        <v>59</v>
      </c>
      <c r="H262">
        <v>1</v>
      </c>
      <c r="I262">
        <v>0</v>
      </c>
      <c r="K262" s="1">
        <v>43316</v>
      </c>
      <c r="L262" t="s">
        <v>95</v>
      </c>
      <c r="M262" t="s">
        <v>511</v>
      </c>
      <c r="N262" s="1">
        <v>44192</v>
      </c>
      <c r="Q262">
        <v>1.1299999999999999</v>
      </c>
      <c r="R262">
        <v>31.33</v>
      </c>
      <c r="S262">
        <v>5.23</v>
      </c>
      <c r="T262">
        <v>6.7</v>
      </c>
      <c r="U262">
        <v>8.7200000000000006</v>
      </c>
      <c r="V262">
        <v>13.18</v>
      </c>
      <c r="Y262">
        <v>2.7</v>
      </c>
      <c r="Z262">
        <v>8.7799999999999994</v>
      </c>
      <c r="AA262">
        <v>8.5</v>
      </c>
      <c r="AB262">
        <v>13.47</v>
      </c>
    </row>
    <row r="263" spans="1:28" hidden="1" x14ac:dyDescent="0.2">
      <c r="A263" t="s">
        <v>653</v>
      </c>
      <c r="B263" t="s">
        <v>654</v>
      </c>
      <c r="F263">
        <v>43</v>
      </c>
      <c r="H263">
        <v>1</v>
      </c>
      <c r="I263">
        <v>0</v>
      </c>
      <c r="K263" s="1">
        <v>43316</v>
      </c>
      <c r="L263" t="s">
        <v>95</v>
      </c>
      <c r="M263" t="s">
        <v>558</v>
      </c>
      <c r="N263" s="1">
        <v>44192</v>
      </c>
      <c r="O263">
        <v>599</v>
      </c>
      <c r="Q263">
        <v>1.1299999999999999</v>
      </c>
      <c r="R263">
        <v>21.05</v>
      </c>
      <c r="S263">
        <v>15.59</v>
      </c>
      <c r="T263">
        <v>15.36</v>
      </c>
      <c r="U263">
        <v>8.5299999999999994</v>
      </c>
      <c r="V263">
        <v>11.79</v>
      </c>
      <c r="X263">
        <v>534</v>
      </c>
      <c r="Y263">
        <v>1.9</v>
      </c>
      <c r="Z263">
        <v>18.52</v>
      </c>
      <c r="AA263">
        <v>13.88</v>
      </c>
      <c r="AB263">
        <v>153.37</v>
      </c>
    </row>
    <row r="264" spans="1:28" hidden="1" x14ac:dyDescent="0.2">
      <c r="A264" t="s">
        <v>655</v>
      </c>
      <c r="B264" t="s">
        <v>656</v>
      </c>
      <c r="L264" t="s">
        <v>226</v>
      </c>
      <c r="M264" t="s">
        <v>657</v>
      </c>
      <c r="N264" s="1">
        <v>44192</v>
      </c>
      <c r="Q264">
        <v>1.85</v>
      </c>
      <c r="R264">
        <v>-40.61</v>
      </c>
      <c r="S264">
        <v>-10.67</v>
      </c>
      <c r="T264">
        <v>-12.77</v>
      </c>
      <c r="U264">
        <v>-10.41</v>
      </c>
      <c r="V264" t="s">
        <v>32</v>
      </c>
      <c r="Y264">
        <v>0</v>
      </c>
      <c r="Z264">
        <v>-13.92</v>
      </c>
      <c r="AA264">
        <v>-6.16</v>
      </c>
      <c r="AB264">
        <v>-11.66</v>
      </c>
    </row>
    <row r="265" spans="1:28" hidden="1" x14ac:dyDescent="0.2">
      <c r="A265" t="s">
        <v>658</v>
      </c>
      <c r="B265" t="s">
        <v>659</v>
      </c>
      <c r="N265" s="1">
        <v>44194</v>
      </c>
      <c r="R265">
        <v>47.06</v>
      </c>
      <c r="S265">
        <v>-5.35</v>
      </c>
      <c r="T265">
        <v>26.73</v>
      </c>
      <c r="U265">
        <v>-5.7</v>
      </c>
      <c r="V265">
        <v>-4.54</v>
      </c>
      <c r="Y265">
        <v>0</v>
      </c>
      <c r="Z265">
        <v>-5.85</v>
      </c>
      <c r="AA265">
        <v>-9</v>
      </c>
      <c r="AB265">
        <v>-34.409999999999997</v>
      </c>
    </row>
    <row r="266" spans="1:28" hidden="1" x14ac:dyDescent="0.2">
      <c r="A266" t="s">
        <v>660</v>
      </c>
      <c r="B266" t="s">
        <v>661</v>
      </c>
      <c r="F266">
        <v>34</v>
      </c>
      <c r="H266">
        <v>0</v>
      </c>
      <c r="I266">
        <v>0</v>
      </c>
      <c r="K266" s="1">
        <v>43316</v>
      </c>
      <c r="L266" t="s">
        <v>26</v>
      </c>
      <c r="M266" t="s">
        <v>238</v>
      </c>
      <c r="N266" s="1">
        <v>44192</v>
      </c>
      <c r="Q266">
        <v>2.95</v>
      </c>
      <c r="R266">
        <v>-6.09</v>
      </c>
      <c r="S266">
        <v>0.25</v>
      </c>
      <c r="T266">
        <v>-4.71</v>
      </c>
      <c r="U266">
        <v>9.01</v>
      </c>
      <c r="V266">
        <v>7.78</v>
      </c>
      <c r="Y266">
        <v>1.2</v>
      </c>
      <c r="Z266">
        <v>2.99</v>
      </c>
      <c r="AA266">
        <v>3.51</v>
      </c>
      <c r="AB266">
        <v>12.1</v>
      </c>
    </row>
    <row r="267" spans="1:28" hidden="1" x14ac:dyDescent="0.2">
      <c r="A267" t="s">
        <v>662</v>
      </c>
      <c r="B267" t="s">
        <v>663</v>
      </c>
      <c r="F267">
        <v>51</v>
      </c>
      <c r="H267">
        <v>1</v>
      </c>
      <c r="I267">
        <v>0</v>
      </c>
      <c r="K267" s="1">
        <v>43316</v>
      </c>
      <c r="L267" t="s">
        <v>226</v>
      </c>
      <c r="M267" t="s">
        <v>657</v>
      </c>
      <c r="N267" s="1">
        <v>44192</v>
      </c>
      <c r="Q267">
        <v>5.92</v>
      </c>
      <c r="R267">
        <v>-24.8</v>
      </c>
      <c r="S267">
        <v>-7.25</v>
      </c>
      <c r="T267">
        <v>3.31</v>
      </c>
      <c r="U267">
        <v>3.45</v>
      </c>
      <c r="V267">
        <v>6.14</v>
      </c>
      <c r="Y267">
        <v>0.8</v>
      </c>
      <c r="Z267">
        <v>-11.02</v>
      </c>
      <c r="AA267">
        <v>-4.79</v>
      </c>
      <c r="AB267">
        <v>-7.99</v>
      </c>
    </row>
    <row r="268" spans="1:28" hidden="1" x14ac:dyDescent="0.2">
      <c r="A268" t="s">
        <v>664</v>
      </c>
      <c r="B268" t="s">
        <v>665</v>
      </c>
      <c r="F268">
        <v>68</v>
      </c>
      <c r="H268">
        <v>1</v>
      </c>
      <c r="I268">
        <v>0</v>
      </c>
      <c r="K268" s="1">
        <v>43316</v>
      </c>
      <c r="L268" t="s">
        <v>39</v>
      </c>
      <c r="M268" t="s">
        <v>197</v>
      </c>
      <c r="N268" s="1">
        <v>44192</v>
      </c>
      <c r="O268">
        <v>237</v>
      </c>
      <c r="Q268">
        <v>0.59</v>
      </c>
      <c r="R268">
        <v>-20.57</v>
      </c>
      <c r="S268">
        <v>-2.14</v>
      </c>
      <c r="T268">
        <v>11</v>
      </c>
      <c r="U268">
        <v>13.49</v>
      </c>
      <c r="V268">
        <v>10.050000000000001</v>
      </c>
      <c r="X268">
        <v>72</v>
      </c>
      <c r="Y268">
        <v>0</v>
      </c>
      <c r="Z268">
        <v>9.9600000000000009</v>
      </c>
      <c r="AA268">
        <v>6.36</v>
      </c>
      <c r="AB268">
        <v>13.53</v>
      </c>
    </row>
    <row r="269" spans="1:28" hidden="1" x14ac:dyDescent="0.2">
      <c r="A269" t="s">
        <v>666</v>
      </c>
      <c r="B269" t="s">
        <v>667</v>
      </c>
      <c r="F269">
        <v>47</v>
      </c>
      <c r="H269">
        <v>1</v>
      </c>
      <c r="I269">
        <v>0</v>
      </c>
      <c r="K269" s="1">
        <v>43316</v>
      </c>
      <c r="L269" t="s">
        <v>113</v>
      </c>
      <c r="M269" t="s">
        <v>299</v>
      </c>
      <c r="N269" s="1">
        <v>44192</v>
      </c>
      <c r="Q269">
        <v>1.72</v>
      </c>
      <c r="R269">
        <v>6.25</v>
      </c>
      <c r="S269">
        <v>8.11</v>
      </c>
      <c r="T269">
        <v>19.02</v>
      </c>
      <c r="U269">
        <v>12.43</v>
      </c>
      <c r="V269">
        <v>8.1</v>
      </c>
      <c r="Y269">
        <v>0</v>
      </c>
      <c r="Z269">
        <v>11.85</v>
      </c>
      <c r="AA269">
        <v>2.84</v>
      </c>
      <c r="AB269">
        <v>11.25</v>
      </c>
    </row>
    <row r="270" spans="1:28" hidden="1" x14ac:dyDescent="0.2">
      <c r="A270" t="s">
        <v>2084</v>
      </c>
      <c r="B270" t="s">
        <v>2084</v>
      </c>
      <c r="F270">
        <v>65</v>
      </c>
      <c r="H270">
        <v>1</v>
      </c>
      <c r="I270">
        <v>0</v>
      </c>
      <c r="K270" s="1">
        <v>43316</v>
      </c>
      <c r="L270" t="s">
        <v>43</v>
      </c>
      <c r="M270" t="s">
        <v>88</v>
      </c>
      <c r="N270" s="1">
        <v>44193</v>
      </c>
      <c r="Q270">
        <v>0.72</v>
      </c>
      <c r="R270">
        <v>11.31</v>
      </c>
      <c r="S270">
        <v>21.77</v>
      </c>
      <c r="T270">
        <v>14.56</v>
      </c>
      <c r="U270">
        <v>20.420000000000002</v>
      </c>
      <c r="V270">
        <v>18.39</v>
      </c>
      <c r="Y270">
        <v>3.3</v>
      </c>
      <c r="Z270">
        <v>2.2400000000000002</v>
      </c>
      <c r="AA270">
        <v>2.68</v>
      </c>
      <c r="AB270">
        <v>13.5</v>
      </c>
    </row>
    <row r="271" spans="1:28" hidden="1" x14ac:dyDescent="0.2">
      <c r="A271" t="s">
        <v>1133</v>
      </c>
      <c r="B271" t="s">
        <v>1134</v>
      </c>
      <c r="L271" t="s">
        <v>26</v>
      </c>
      <c r="M271" t="s">
        <v>759</v>
      </c>
      <c r="N271" s="1">
        <v>44197</v>
      </c>
      <c r="O271">
        <v>-173</v>
      </c>
      <c r="P271" t="s">
        <v>2403</v>
      </c>
      <c r="Q271" t="s">
        <v>32</v>
      </c>
      <c r="R271">
        <v>156.21</v>
      </c>
      <c r="S271">
        <v>20.37</v>
      </c>
      <c r="T271">
        <v>-16.5</v>
      </c>
      <c r="U271">
        <v>-11.5</v>
      </c>
      <c r="V271">
        <v>-7.98</v>
      </c>
      <c r="X271" t="s">
        <v>32</v>
      </c>
      <c r="Y271">
        <v>0</v>
      </c>
      <c r="Z271" t="s">
        <v>2403</v>
      </c>
      <c r="AA271" t="s">
        <v>2403</v>
      </c>
      <c r="AB271" t="s">
        <v>2403</v>
      </c>
    </row>
    <row r="272" spans="1:28" hidden="1" x14ac:dyDescent="0.2">
      <c r="A272" t="s">
        <v>500</v>
      </c>
      <c r="B272" t="s">
        <v>501</v>
      </c>
      <c r="F272">
        <v>65</v>
      </c>
      <c r="H272">
        <v>1</v>
      </c>
      <c r="I272">
        <v>0</v>
      </c>
      <c r="K272" s="1">
        <v>43316</v>
      </c>
      <c r="L272" t="s">
        <v>71</v>
      </c>
      <c r="M272" t="s">
        <v>502</v>
      </c>
      <c r="N272" s="1">
        <v>44192</v>
      </c>
      <c r="Q272">
        <v>2.86</v>
      </c>
      <c r="R272">
        <v>13.49</v>
      </c>
      <c r="S272">
        <v>15.62</v>
      </c>
      <c r="T272">
        <v>15.05</v>
      </c>
      <c r="U272">
        <v>15.56</v>
      </c>
      <c r="V272">
        <v>13.42</v>
      </c>
      <c r="Y272">
        <v>3</v>
      </c>
      <c r="Z272">
        <v>11.62</v>
      </c>
      <c r="AA272">
        <v>1.74</v>
      </c>
      <c r="AB272">
        <v>6.44</v>
      </c>
    </row>
    <row r="273" spans="1:28" hidden="1" x14ac:dyDescent="0.2">
      <c r="A273" t="s">
        <v>672</v>
      </c>
      <c r="B273" t="s">
        <v>673</v>
      </c>
      <c r="N273" s="1">
        <v>44194</v>
      </c>
      <c r="R273">
        <v>170.3</v>
      </c>
      <c r="S273">
        <v>70.06</v>
      </c>
      <c r="T273">
        <v>85.17</v>
      </c>
      <c r="U273">
        <v>21.26</v>
      </c>
      <c r="V273">
        <v>-15.99</v>
      </c>
      <c r="Y273">
        <v>0</v>
      </c>
      <c r="Z273">
        <v>-55.87</v>
      </c>
      <c r="AA273">
        <v>-11.41</v>
      </c>
      <c r="AB273">
        <v>-19.2</v>
      </c>
    </row>
    <row r="274" spans="1:28" hidden="1" x14ac:dyDescent="0.2">
      <c r="A274" s="2" t="s">
        <v>737</v>
      </c>
      <c r="B274" t="s">
        <v>738</v>
      </c>
      <c r="F274">
        <v>93</v>
      </c>
      <c r="G274">
        <v>4.7</v>
      </c>
      <c r="H274">
        <v>0</v>
      </c>
      <c r="I274">
        <v>0</v>
      </c>
      <c r="L274" t="s">
        <v>95</v>
      </c>
      <c r="M274" t="s">
        <v>542</v>
      </c>
      <c r="N274" s="1">
        <v>44194</v>
      </c>
      <c r="R274">
        <v>208.11</v>
      </c>
      <c r="S274" t="s">
        <v>32</v>
      </c>
      <c r="T274" t="s">
        <v>32</v>
      </c>
      <c r="U274" t="s">
        <v>32</v>
      </c>
      <c r="V274" t="s">
        <v>32</v>
      </c>
      <c r="Y274">
        <v>3.8</v>
      </c>
      <c r="Z274">
        <v>-16.829999999999998</v>
      </c>
      <c r="AA274">
        <v>-11.38</v>
      </c>
      <c r="AB274">
        <v>-43.85</v>
      </c>
    </row>
    <row r="275" spans="1:28" hidden="1" x14ac:dyDescent="0.2">
      <c r="A275" t="s">
        <v>677</v>
      </c>
      <c r="B275" t="s">
        <v>678</v>
      </c>
      <c r="F275">
        <v>71</v>
      </c>
      <c r="H275">
        <v>1</v>
      </c>
      <c r="I275">
        <v>0</v>
      </c>
      <c r="K275" s="1">
        <v>43316</v>
      </c>
      <c r="L275" t="s">
        <v>113</v>
      </c>
      <c r="M275" t="s">
        <v>126</v>
      </c>
      <c r="N275" s="1">
        <v>44192</v>
      </c>
      <c r="Q275">
        <v>4.76</v>
      </c>
      <c r="R275">
        <v>-4.5199999999999996</v>
      </c>
      <c r="S275">
        <v>1.73</v>
      </c>
      <c r="T275">
        <v>5.96</v>
      </c>
      <c r="U275">
        <v>9.02</v>
      </c>
      <c r="V275">
        <v>7.08</v>
      </c>
      <c r="Y275">
        <v>27.2</v>
      </c>
      <c r="Z275">
        <v>-0.78</v>
      </c>
      <c r="AA275">
        <v>-0.13</v>
      </c>
      <c r="AB275">
        <v>-0.51</v>
      </c>
    </row>
    <row r="276" spans="1:28" hidden="1" x14ac:dyDescent="0.2">
      <c r="A276" t="s">
        <v>679</v>
      </c>
      <c r="B276" t="s">
        <v>680</v>
      </c>
      <c r="F276">
        <v>79</v>
      </c>
      <c r="G276">
        <v>4.0999999999999996</v>
      </c>
      <c r="H276">
        <v>0</v>
      </c>
      <c r="I276">
        <v>0</v>
      </c>
      <c r="J276" t="s">
        <v>80</v>
      </c>
      <c r="K276" s="1">
        <v>43716</v>
      </c>
      <c r="L276" t="s">
        <v>39</v>
      </c>
      <c r="M276" t="s">
        <v>40</v>
      </c>
      <c r="N276" s="1">
        <v>44192</v>
      </c>
      <c r="Q276">
        <v>2</v>
      </c>
      <c r="R276">
        <v>-32.43</v>
      </c>
      <c r="S276">
        <v>-8.48</v>
      </c>
      <c r="T276">
        <v>-3.1</v>
      </c>
      <c r="U276">
        <v>14.04</v>
      </c>
      <c r="V276" t="s">
        <v>32</v>
      </c>
      <c r="Y276">
        <v>38.700000000000003</v>
      </c>
      <c r="Z276">
        <v>-42.88</v>
      </c>
      <c r="AA276">
        <v>-14.8</v>
      </c>
      <c r="AB276">
        <v>-114.32</v>
      </c>
    </row>
    <row r="277" spans="1:28" hidden="1" x14ac:dyDescent="0.2">
      <c r="A277" t="s">
        <v>681</v>
      </c>
      <c r="B277" t="s">
        <v>682</v>
      </c>
      <c r="L277" t="s">
        <v>43</v>
      </c>
      <c r="M277" t="s">
        <v>169</v>
      </c>
      <c r="N277" s="1">
        <v>44192</v>
      </c>
      <c r="Q277">
        <v>1.19</v>
      </c>
      <c r="R277">
        <v>7.07</v>
      </c>
      <c r="S277">
        <v>-14.07</v>
      </c>
      <c r="T277">
        <v>7.86</v>
      </c>
      <c r="U277">
        <v>2.2799999999999998</v>
      </c>
      <c r="V277" t="s">
        <v>32</v>
      </c>
      <c r="Y277">
        <v>0</v>
      </c>
      <c r="Z277">
        <v>0.2</v>
      </c>
      <c r="AA277">
        <v>0.19</v>
      </c>
      <c r="AB277">
        <v>0.8</v>
      </c>
    </row>
    <row r="278" spans="1:28" hidden="1" x14ac:dyDescent="0.2">
      <c r="A278" t="s">
        <v>1336</v>
      </c>
      <c r="B278" t="s">
        <v>1337</v>
      </c>
      <c r="F278">
        <v>65</v>
      </c>
      <c r="H278">
        <v>1</v>
      </c>
      <c r="I278">
        <v>0</v>
      </c>
      <c r="J278" t="s">
        <v>80</v>
      </c>
      <c r="K278" s="1">
        <v>43316</v>
      </c>
      <c r="L278" t="s">
        <v>95</v>
      </c>
      <c r="M278" t="s">
        <v>96</v>
      </c>
      <c r="N278" s="1">
        <v>44194</v>
      </c>
      <c r="O278">
        <v>612</v>
      </c>
      <c r="Q278">
        <v>1.04</v>
      </c>
      <c r="R278">
        <v>45.33</v>
      </c>
      <c r="S278">
        <v>28.67</v>
      </c>
      <c r="T278">
        <v>25.47</v>
      </c>
      <c r="U278">
        <v>18.12</v>
      </c>
      <c r="V278">
        <v>12.85</v>
      </c>
      <c r="X278">
        <v>856</v>
      </c>
      <c r="Y278">
        <v>4.3</v>
      </c>
      <c r="Z278">
        <v>20.58</v>
      </c>
      <c r="AA278">
        <v>11.55</v>
      </c>
      <c r="AB278">
        <v>23.77</v>
      </c>
    </row>
    <row r="279" spans="1:28" hidden="1" x14ac:dyDescent="0.2">
      <c r="A279" t="s">
        <v>1899</v>
      </c>
      <c r="B279" t="s">
        <v>1900</v>
      </c>
      <c r="F279">
        <v>67</v>
      </c>
      <c r="H279">
        <v>1</v>
      </c>
      <c r="I279">
        <v>0</v>
      </c>
      <c r="K279" s="1">
        <v>43316</v>
      </c>
      <c r="L279" t="s">
        <v>30</v>
      </c>
      <c r="M279" t="s">
        <v>164</v>
      </c>
      <c r="N279" s="1">
        <v>44193</v>
      </c>
      <c r="Q279">
        <v>0.72</v>
      </c>
      <c r="R279">
        <v>27.21</v>
      </c>
      <c r="S279">
        <v>21.84</v>
      </c>
      <c r="T279">
        <v>23.24</v>
      </c>
      <c r="U279">
        <v>24.69</v>
      </c>
      <c r="V279">
        <v>20.83</v>
      </c>
      <c r="Y279">
        <v>3.6</v>
      </c>
      <c r="Z279">
        <v>10.41</v>
      </c>
      <c r="AA279">
        <v>8.98</v>
      </c>
      <c r="AB279">
        <v>45.49</v>
      </c>
    </row>
    <row r="280" spans="1:28" hidden="1" x14ac:dyDescent="0.2">
      <c r="A280" t="s">
        <v>687</v>
      </c>
      <c r="B280" t="s">
        <v>688</v>
      </c>
      <c r="H280">
        <v>1</v>
      </c>
      <c r="I280">
        <v>0</v>
      </c>
      <c r="J280" t="s">
        <v>68</v>
      </c>
      <c r="L280" t="s">
        <v>95</v>
      </c>
      <c r="M280" t="s">
        <v>558</v>
      </c>
    </row>
    <row r="281" spans="1:28" hidden="1" x14ac:dyDescent="0.2">
      <c r="A281" t="s">
        <v>689</v>
      </c>
      <c r="B281" t="s">
        <v>690</v>
      </c>
      <c r="L281" t="s">
        <v>226</v>
      </c>
      <c r="M281" t="s">
        <v>386</v>
      </c>
      <c r="N281" s="1">
        <v>44192</v>
      </c>
      <c r="Q281">
        <v>12.07</v>
      </c>
      <c r="R281">
        <v>-17.760000000000002</v>
      </c>
      <c r="S281">
        <v>-9.59</v>
      </c>
      <c r="T281">
        <v>5.68</v>
      </c>
      <c r="U281">
        <v>2.68</v>
      </c>
      <c r="V281">
        <v>5.85</v>
      </c>
      <c r="Y281">
        <v>6.3</v>
      </c>
      <c r="Z281">
        <v>-6.98</v>
      </c>
      <c r="AA281">
        <v>-3.34</v>
      </c>
      <c r="AB281">
        <v>-7.12</v>
      </c>
    </row>
    <row r="282" spans="1:28" hidden="1" x14ac:dyDescent="0.2">
      <c r="A282" t="s">
        <v>691</v>
      </c>
      <c r="B282" t="s">
        <v>692</v>
      </c>
      <c r="L282" t="s">
        <v>30</v>
      </c>
      <c r="M282" t="s">
        <v>248</v>
      </c>
      <c r="N282" s="1">
        <v>44192</v>
      </c>
      <c r="Q282">
        <v>1.89</v>
      </c>
      <c r="R282">
        <v>10.93</v>
      </c>
      <c r="S282">
        <v>-12.14</v>
      </c>
      <c r="T282">
        <v>0.25</v>
      </c>
      <c r="U282">
        <v>5.59</v>
      </c>
      <c r="V282">
        <v>2.59</v>
      </c>
      <c r="Y282">
        <v>271.3</v>
      </c>
      <c r="Z282">
        <v>-14.73</v>
      </c>
      <c r="AA282">
        <v>-4.21</v>
      </c>
      <c r="AB282">
        <v>-7.6</v>
      </c>
    </row>
    <row r="283" spans="1:28" hidden="1" x14ac:dyDescent="0.2">
      <c r="A283" s="2" t="s">
        <v>1377</v>
      </c>
      <c r="B283" t="s">
        <v>1378</v>
      </c>
      <c r="J283" t="s">
        <v>80</v>
      </c>
      <c r="L283" t="s">
        <v>95</v>
      </c>
      <c r="M283" t="s">
        <v>542</v>
      </c>
      <c r="N283" s="1">
        <v>44197</v>
      </c>
      <c r="O283">
        <v>-300</v>
      </c>
      <c r="P283" t="s">
        <v>2403</v>
      </c>
      <c r="Q283" t="s">
        <v>32</v>
      </c>
      <c r="R283">
        <v>53.68</v>
      </c>
      <c r="S283">
        <v>34.85</v>
      </c>
      <c r="T283">
        <v>15.07</v>
      </c>
      <c r="U283" t="s">
        <v>32</v>
      </c>
      <c r="V283" t="s">
        <v>32</v>
      </c>
      <c r="X283">
        <v>835</v>
      </c>
      <c r="Y283">
        <v>3</v>
      </c>
      <c r="Z283">
        <v>-8.36</v>
      </c>
      <c r="AA283">
        <v>-3.85</v>
      </c>
      <c r="AB283">
        <v>-26.47</v>
      </c>
    </row>
    <row r="284" spans="1:28" hidden="1" x14ac:dyDescent="0.2">
      <c r="A284" t="s">
        <v>695</v>
      </c>
      <c r="B284" t="s">
        <v>696</v>
      </c>
      <c r="F284">
        <v>31</v>
      </c>
      <c r="H284">
        <v>1</v>
      </c>
      <c r="I284">
        <v>0</v>
      </c>
      <c r="K284" s="1">
        <v>43316</v>
      </c>
      <c r="L284" t="s">
        <v>43</v>
      </c>
      <c r="M284" t="s">
        <v>488</v>
      </c>
      <c r="N284" s="1">
        <v>44192</v>
      </c>
      <c r="R284">
        <v>-19.690000000000001</v>
      </c>
      <c r="S284">
        <v>-1.89</v>
      </c>
      <c r="T284">
        <v>-2.5499999999999998</v>
      </c>
      <c r="U284">
        <v>5.46</v>
      </c>
      <c r="V284">
        <v>6.72</v>
      </c>
      <c r="Y284">
        <v>0</v>
      </c>
      <c r="Z284">
        <v>-1.48</v>
      </c>
      <c r="AA284">
        <v>-2</v>
      </c>
      <c r="AB284">
        <v>-4.74</v>
      </c>
    </row>
    <row r="285" spans="1:28" hidden="1" x14ac:dyDescent="0.2">
      <c r="A285" s="2" t="s">
        <v>1416</v>
      </c>
      <c r="B285" t="s">
        <v>1417</v>
      </c>
      <c r="H285">
        <v>0</v>
      </c>
      <c r="I285">
        <v>0</v>
      </c>
      <c r="J285" t="s">
        <v>80</v>
      </c>
      <c r="L285" t="s">
        <v>95</v>
      </c>
      <c r="M285" t="s">
        <v>542</v>
      </c>
      <c r="N285" s="1">
        <v>44197</v>
      </c>
      <c r="O285">
        <v>-339</v>
      </c>
      <c r="P285" t="s">
        <v>2403</v>
      </c>
      <c r="Q285" t="s">
        <v>32</v>
      </c>
      <c r="R285">
        <v>45.7</v>
      </c>
      <c r="S285">
        <v>33.049999999999997</v>
      </c>
      <c r="T285">
        <v>24.63</v>
      </c>
      <c r="U285" t="s">
        <v>32</v>
      </c>
      <c r="V285" t="s">
        <v>32</v>
      </c>
      <c r="X285">
        <v>1704</v>
      </c>
      <c r="Y285">
        <v>3.2</v>
      </c>
      <c r="Z285">
        <v>-8.14</v>
      </c>
      <c r="AA285">
        <v>-4.84</v>
      </c>
      <c r="AB285">
        <v>-12.55</v>
      </c>
    </row>
    <row r="286" spans="1:28" hidden="1" x14ac:dyDescent="0.2">
      <c r="A286" t="s">
        <v>699</v>
      </c>
      <c r="B286" t="s">
        <v>700</v>
      </c>
      <c r="J286" t="s">
        <v>68</v>
      </c>
      <c r="L286" t="s">
        <v>95</v>
      </c>
      <c r="M286" t="s">
        <v>427</v>
      </c>
    </row>
    <row r="287" spans="1:28" hidden="1" x14ac:dyDescent="0.2">
      <c r="A287" t="s">
        <v>701</v>
      </c>
      <c r="B287" t="s">
        <v>702</v>
      </c>
      <c r="F287">
        <v>70</v>
      </c>
      <c r="G287">
        <v>3.9</v>
      </c>
      <c r="H287">
        <v>1</v>
      </c>
      <c r="I287">
        <v>0</v>
      </c>
      <c r="J287" t="s">
        <v>53</v>
      </c>
      <c r="K287" s="1">
        <v>43716</v>
      </c>
      <c r="L287" t="s">
        <v>99</v>
      </c>
      <c r="M287" t="s">
        <v>269</v>
      </c>
      <c r="N287" s="1">
        <v>44192</v>
      </c>
      <c r="Q287">
        <v>2.29</v>
      </c>
      <c r="R287">
        <v>-2</v>
      </c>
      <c r="S287">
        <v>5.84</v>
      </c>
      <c r="T287">
        <v>9.94</v>
      </c>
      <c r="U287">
        <v>9.85</v>
      </c>
      <c r="V287">
        <v>8.6300000000000008</v>
      </c>
      <c r="Y287">
        <v>1.2</v>
      </c>
      <c r="Z287">
        <v>11.99</v>
      </c>
      <c r="AA287">
        <v>4.3600000000000003</v>
      </c>
      <c r="AB287">
        <v>18.62</v>
      </c>
    </row>
    <row r="288" spans="1:28" hidden="1" x14ac:dyDescent="0.2">
      <c r="A288" s="2" t="s">
        <v>455</v>
      </c>
      <c r="B288" t="s">
        <v>456</v>
      </c>
      <c r="H288">
        <v>1</v>
      </c>
      <c r="I288">
        <v>0</v>
      </c>
      <c r="J288" t="s">
        <v>80</v>
      </c>
      <c r="L288" t="s">
        <v>99</v>
      </c>
      <c r="M288" t="s">
        <v>457</v>
      </c>
      <c r="N288" s="1">
        <v>44194</v>
      </c>
      <c r="R288">
        <v>67.16</v>
      </c>
      <c r="S288" t="s">
        <v>32</v>
      </c>
      <c r="T288" t="s">
        <v>32</v>
      </c>
      <c r="U288" t="s">
        <v>32</v>
      </c>
      <c r="V288" t="s">
        <v>32</v>
      </c>
      <c r="Y288">
        <v>4.0999999999999996</v>
      </c>
      <c r="Z288">
        <v>-6.97</v>
      </c>
      <c r="AA288">
        <v>-5.98</v>
      </c>
      <c r="AB288">
        <v>-7.44</v>
      </c>
    </row>
    <row r="289" spans="1:28" hidden="1" x14ac:dyDescent="0.2">
      <c r="A289" t="s">
        <v>705</v>
      </c>
      <c r="B289" t="s">
        <v>706</v>
      </c>
      <c r="F289">
        <v>60</v>
      </c>
      <c r="G289">
        <v>3.7</v>
      </c>
      <c r="H289">
        <v>0</v>
      </c>
      <c r="I289">
        <v>0</v>
      </c>
      <c r="J289" t="s">
        <v>80</v>
      </c>
      <c r="K289" s="1">
        <v>43716</v>
      </c>
      <c r="L289" t="s">
        <v>35</v>
      </c>
      <c r="M289" t="s">
        <v>106</v>
      </c>
      <c r="N289" s="1">
        <v>44192</v>
      </c>
      <c r="Q289">
        <v>2.31</v>
      </c>
      <c r="R289">
        <v>5.59</v>
      </c>
      <c r="S289">
        <v>6.52</v>
      </c>
      <c r="T289">
        <v>11.81</v>
      </c>
      <c r="U289">
        <v>18.29</v>
      </c>
      <c r="V289" t="s">
        <v>32</v>
      </c>
      <c r="Y289">
        <v>0.3</v>
      </c>
      <c r="Z289">
        <v>9.0500000000000007</v>
      </c>
      <c r="AA289">
        <v>0.86</v>
      </c>
      <c r="AB289">
        <v>9.9700000000000006</v>
      </c>
    </row>
    <row r="290" spans="1:28" hidden="1" x14ac:dyDescent="0.2">
      <c r="A290" s="2" t="s">
        <v>1219</v>
      </c>
      <c r="B290" t="s">
        <v>1220</v>
      </c>
      <c r="F290">
        <v>81</v>
      </c>
      <c r="G290">
        <v>4</v>
      </c>
      <c r="J290" t="s">
        <v>80</v>
      </c>
      <c r="L290" t="s">
        <v>213</v>
      </c>
      <c r="M290" t="s">
        <v>549</v>
      </c>
      <c r="N290" s="1">
        <v>44197</v>
      </c>
      <c r="O290">
        <v>-101</v>
      </c>
      <c r="P290" t="s">
        <v>2403</v>
      </c>
      <c r="Q290" t="s">
        <v>32</v>
      </c>
      <c r="R290">
        <v>147.96</v>
      </c>
      <c r="S290">
        <v>85.78</v>
      </c>
      <c r="T290" t="s">
        <v>32</v>
      </c>
      <c r="U290" t="s">
        <v>32</v>
      </c>
      <c r="V290" t="s">
        <v>32</v>
      </c>
      <c r="X290">
        <v>340</v>
      </c>
      <c r="Y290">
        <v>0</v>
      </c>
      <c r="Z290">
        <v>-6.53</v>
      </c>
      <c r="AA290">
        <v>-6.7</v>
      </c>
      <c r="AB290">
        <v>-11.97</v>
      </c>
    </row>
    <row r="291" spans="1:28" hidden="1" x14ac:dyDescent="0.2">
      <c r="A291" t="s">
        <v>709</v>
      </c>
      <c r="B291" t="s">
        <v>710</v>
      </c>
      <c r="F291">
        <v>56</v>
      </c>
      <c r="H291">
        <v>0</v>
      </c>
      <c r="I291">
        <v>0</v>
      </c>
      <c r="K291" s="1">
        <v>43316</v>
      </c>
      <c r="L291" t="s">
        <v>26</v>
      </c>
      <c r="M291" t="s">
        <v>27</v>
      </c>
      <c r="N291" s="1">
        <v>44192</v>
      </c>
      <c r="Q291">
        <v>1.78</v>
      </c>
      <c r="R291">
        <v>14.2</v>
      </c>
      <c r="S291">
        <v>8.43</v>
      </c>
      <c r="T291">
        <v>12.71</v>
      </c>
      <c r="U291">
        <v>9.48</v>
      </c>
      <c r="V291">
        <v>6.61</v>
      </c>
      <c r="Y291">
        <v>1.4</v>
      </c>
      <c r="Z291">
        <v>13.17</v>
      </c>
      <c r="AA291">
        <v>8.42</v>
      </c>
      <c r="AB291">
        <v>18.34</v>
      </c>
    </row>
    <row r="292" spans="1:28" hidden="1" x14ac:dyDescent="0.2">
      <c r="A292" t="s">
        <v>711</v>
      </c>
      <c r="B292" t="s">
        <v>712</v>
      </c>
      <c r="F292">
        <v>64</v>
      </c>
      <c r="H292">
        <v>1</v>
      </c>
      <c r="I292">
        <v>0</v>
      </c>
      <c r="J292" t="s">
        <v>68</v>
      </c>
      <c r="K292" s="1">
        <v>43316</v>
      </c>
      <c r="L292" t="s">
        <v>43</v>
      </c>
      <c r="M292" t="s">
        <v>713</v>
      </c>
      <c r="N292" s="1">
        <v>44192</v>
      </c>
      <c r="Q292">
        <v>0.94</v>
      </c>
      <c r="R292">
        <v>36.42</v>
      </c>
      <c r="S292">
        <v>13.2</v>
      </c>
      <c r="T292">
        <v>18.29</v>
      </c>
      <c r="U292">
        <v>20.27</v>
      </c>
      <c r="V292">
        <v>5.17</v>
      </c>
      <c r="Y292">
        <v>1</v>
      </c>
      <c r="Z292">
        <v>11.69</v>
      </c>
      <c r="AA292">
        <v>13.75</v>
      </c>
      <c r="AB292">
        <v>21.72</v>
      </c>
    </row>
    <row r="293" spans="1:28" hidden="1" x14ac:dyDescent="0.2">
      <c r="A293" s="2" t="s">
        <v>719</v>
      </c>
      <c r="B293" t="s">
        <v>720</v>
      </c>
      <c r="F293">
        <v>65</v>
      </c>
      <c r="H293">
        <v>0</v>
      </c>
      <c r="I293">
        <v>0</v>
      </c>
      <c r="J293" t="s">
        <v>80</v>
      </c>
      <c r="K293" s="1">
        <v>43316</v>
      </c>
      <c r="L293" t="s">
        <v>43</v>
      </c>
      <c r="M293" t="s">
        <v>596</v>
      </c>
      <c r="N293" s="1">
        <v>44192</v>
      </c>
      <c r="Q293">
        <v>0.59</v>
      </c>
      <c r="R293">
        <v>19.57</v>
      </c>
      <c r="S293">
        <v>17.7</v>
      </c>
      <c r="T293">
        <v>11.24</v>
      </c>
      <c r="U293">
        <v>17.25</v>
      </c>
      <c r="V293">
        <v>14.58</v>
      </c>
      <c r="Y293">
        <v>2.8</v>
      </c>
      <c r="Z293">
        <v>-4.38</v>
      </c>
      <c r="AA293">
        <v>-1.45</v>
      </c>
      <c r="AB293">
        <v>-3.32</v>
      </c>
    </row>
    <row r="294" spans="1:28" hidden="1" x14ac:dyDescent="0.2">
      <c r="A294" t="s">
        <v>916</v>
      </c>
      <c r="B294" t="s">
        <v>917</v>
      </c>
      <c r="F294">
        <v>70</v>
      </c>
      <c r="H294">
        <v>1</v>
      </c>
      <c r="I294">
        <v>0</v>
      </c>
      <c r="J294" t="s">
        <v>53</v>
      </c>
      <c r="K294" s="1">
        <v>43316</v>
      </c>
      <c r="L294" t="s">
        <v>95</v>
      </c>
      <c r="M294" t="s">
        <v>511</v>
      </c>
      <c r="N294" s="1">
        <v>44189</v>
      </c>
      <c r="P294">
        <v>514000</v>
      </c>
      <c r="Q294">
        <v>1.32</v>
      </c>
      <c r="R294">
        <v>23.66</v>
      </c>
      <c r="S294">
        <v>19.98</v>
      </c>
      <c r="T294">
        <v>20.98</v>
      </c>
      <c r="U294">
        <v>19.16</v>
      </c>
      <c r="V294">
        <v>16.39</v>
      </c>
      <c r="Y294">
        <v>3.5</v>
      </c>
      <c r="Z294">
        <v>11.74</v>
      </c>
      <c r="AA294">
        <v>14.7</v>
      </c>
      <c r="AB294">
        <v>31.75</v>
      </c>
    </row>
    <row r="295" spans="1:28" hidden="1" x14ac:dyDescent="0.2">
      <c r="A295" s="2" t="s">
        <v>1630</v>
      </c>
      <c r="B295" t="s">
        <v>1631</v>
      </c>
      <c r="N295" s="1">
        <v>44193</v>
      </c>
      <c r="Q295">
        <v>0.19</v>
      </c>
      <c r="R295">
        <v>23.97</v>
      </c>
      <c r="S295">
        <v>23.93</v>
      </c>
      <c r="T295">
        <v>23.18</v>
      </c>
      <c r="U295" t="s">
        <v>32</v>
      </c>
      <c r="V295" t="s">
        <v>32</v>
      </c>
      <c r="Y295">
        <v>0</v>
      </c>
      <c r="Z295">
        <v>-3.98</v>
      </c>
      <c r="AA295">
        <v>-1.04</v>
      </c>
      <c r="AB295">
        <v>-1.35</v>
      </c>
    </row>
    <row r="296" spans="1:28" hidden="1" x14ac:dyDescent="0.2">
      <c r="A296" t="s">
        <v>721</v>
      </c>
      <c r="B296" t="s">
        <v>722</v>
      </c>
      <c r="F296">
        <v>44</v>
      </c>
      <c r="H296">
        <v>0</v>
      </c>
      <c r="I296">
        <v>0</v>
      </c>
      <c r="J296" t="s">
        <v>68</v>
      </c>
      <c r="K296" s="1">
        <v>43316</v>
      </c>
      <c r="L296" t="s">
        <v>43</v>
      </c>
      <c r="M296" t="s">
        <v>596</v>
      </c>
    </row>
    <row r="297" spans="1:28" hidden="1" x14ac:dyDescent="0.2">
      <c r="A297" t="s">
        <v>2393</v>
      </c>
      <c r="B297" t="s">
        <v>2394</v>
      </c>
      <c r="L297" t="s">
        <v>43</v>
      </c>
      <c r="M297" t="s">
        <v>596</v>
      </c>
      <c r="N297" s="1">
        <v>44197</v>
      </c>
      <c r="O297">
        <v>1424</v>
      </c>
      <c r="P297" t="s">
        <v>2403</v>
      </c>
      <c r="Q297" t="s">
        <v>32</v>
      </c>
      <c r="R297">
        <v>-14.1</v>
      </c>
      <c r="S297">
        <v>7.35</v>
      </c>
      <c r="T297">
        <v>0.76</v>
      </c>
      <c r="U297">
        <v>3.62</v>
      </c>
      <c r="V297" t="s">
        <v>32</v>
      </c>
      <c r="X297" t="s">
        <v>32</v>
      </c>
      <c r="Y297">
        <v>1</v>
      </c>
      <c r="Z297">
        <v>10.06</v>
      </c>
      <c r="AA297">
        <v>3.24</v>
      </c>
      <c r="AB297">
        <v>10.94</v>
      </c>
    </row>
    <row r="298" spans="1:28" hidden="1" x14ac:dyDescent="0.2">
      <c r="A298" t="s">
        <v>1203</v>
      </c>
      <c r="B298" t="s">
        <v>1204</v>
      </c>
      <c r="F298">
        <v>32</v>
      </c>
      <c r="H298">
        <v>1</v>
      </c>
      <c r="I298">
        <v>0</v>
      </c>
      <c r="J298" t="s">
        <v>68</v>
      </c>
      <c r="K298" s="1">
        <v>43316</v>
      </c>
      <c r="L298" t="s">
        <v>213</v>
      </c>
      <c r="M298" t="s">
        <v>549</v>
      </c>
    </row>
    <row r="299" spans="1:28" hidden="1" x14ac:dyDescent="0.2">
      <c r="A299" t="s">
        <v>725</v>
      </c>
      <c r="B299" t="s">
        <v>726</v>
      </c>
      <c r="L299" t="s">
        <v>226</v>
      </c>
      <c r="M299" t="s">
        <v>227</v>
      </c>
      <c r="N299" s="1">
        <v>44192</v>
      </c>
      <c r="Q299">
        <v>9.26</v>
      </c>
      <c r="R299">
        <v>-52.43</v>
      </c>
      <c r="S299">
        <v>-18.420000000000002</v>
      </c>
      <c r="T299">
        <v>-4.72</v>
      </c>
      <c r="U299">
        <v>12.2</v>
      </c>
      <c r="V299" t="s">
        <v>32</v>
      </c>
      <c r="Y299">
        <v>0</v>
      </c>
      <c r="Z299">
        <v>-3.66</v>
      </c>
      <c r="AA299">
        <v>-4.24</v>
      </c>
      <c r="AB299">
        <v>-18.850000000000001</v>
      </c>
    </row>
    <row r="300" spans="1:28" hidden="1" x14ac:dyDescent="0.2">
      <c r="A300" t="s">
        <v>727</v>
      </c>
      <c r="B300" t="s">
        <v>728</v>
      </c>
      <c r="F300">
        <v>44</v>
      </c>
      <c r="H300">
        <v>0</v>
      </c>
      <c r="I300">
        <v>0</v>
      </c>
      <c r="K300" s="1">
        <v>43316</v>
      </c>
      <c r="L300" t="s">
        <v>43</v>
      </c>
      <c r="M300" t="s">
        <v>47</v>
      </c>
      <c r="N300" s="1">
        <v>44192</v>
      </c>
      <c r="Q300">
        <v>2.13</v>
      </c>
      <c r="R300">
        <v>19.739999999999998</v>
      </c>
      <c r="S300">
        <v>25.64</v>
      </c>
      <c r="T300">
        <v>10.25</v>
      </c>
      <c r="U300">
        <v>5.6</v>
      </c>
      <c r="V300">
        <v>9.36</v>
      </c>
      <c r="Y300">
        <v>1.9</v>
      </c>
      <c r="Z300">
        <v>4.2</v>
      </c>
      <c r="AA300">
        <v>5.15</v>
      </c>
      <c r="AB300">
        <v>19.86</v>
      </c>
    </row>
    <row r="301" spans="1:28" hidden="1" x14ac:dyDescent="0.2">
      <c r="A301" t="s">
        <v>729</v>
      </c>
      <c r="B301" t="s">
        <v>730</v>
      </c>
      <c r="F301">
        <v>67</v>
      </c>
      <c r="H301">
        <v>1</v>
      </c>
      <c r="I301">
        <v>0</v>
      </c>
      <c r="J301" t="s">
        <v>68</v>
      </c>
      <c r="K301" s="1">
        <v>43316</v>
      </c>
      <c r="L301" t="s">
        <v>43</v>
      </c>
      <c r="M301" t="s">
        <v>169</v>
      </c>
    </row>
    <row r="302" spans="1:28" hidden="1" x14ac:dyDescent="0.2">
      <c r="A302" t="s">
        <v>739</v>
      </c>
      <c r="B302" t="s">
        <v>740</v>
      </c>
      <c r="F302">
        <v>70</v>
      </c>
      <c r="H302">
        <v>0</v>
      </c>
      <c r="I302">
        <v>0</v>
      </c>
      <c r="J302" t="s">
        <v>80</v>
      </c>
      <c r="K302" s="1">
        <v>43316</v>
      </c>
      <c r="L302" t="s">
        <v>95</v>
      </c>
      <c r="M302" t="s">
        <v>741</v>
      </c>
      <c r="N302" s="1">
        <v>44189</v>
      </c>
      <c r="O302">
        <v>2213</v>
      </c>
      <c r="P302">
        <v>9080</v>
      </c>
      <c r="Q302">
        <v>0.52</v>
      </c>
      <c r="R302">
        <v>55.36</v>
      </c>
      <c r="S302">
        <v>12.59</v>
      </c>
      <c r="T302">
        <v>18.940000000000001</v>
      </c>
      <c r="U302">
        <v>22.35</v>
      </c>
      <c r="V302">
        <v>19.170000000000002</v>
      </c>
      <c r="X302">
        <v>1098</v>
      </c>
      <c r="Y302">
        <v>1.9</v>
      </c>
      <c r="Z302">
        <v>28.89</v>
      </c>
      <c r="AA302">
        <v>11.24</v>
      </c>
      <c r="AB302">
        <v>16.63</v>
      </c>
    </row>
    <row r="303" spans="1:28" hidden="1" x14ac:dyDescent="0.2">
      <c r="A303" t="s">
        <v>733</v>
      </c>
      <c r="B303" t="s">
        <v>734</v>
      </c>
      <c r="F303">
        <v>40</v>
      </c>
      <c r="H303">
        <v>0</v>
      </c>
      <c r="I303">
        <v>0</v>
      </c>
      <c r="K303" s="1">
        <v>43316</v>
      </c>
      <c r="L303" t="s">
        <v>99</v>
      </c>
      <c r="M303" t="s">
        <v>621</v>
      </c>
      <c r="N303" s="1">
        <v>44194</v>
      </c>
      <c r="R303">
        <v>16.25</v>
      </c>
      <c r="S303">
        <v>-0.04</v>
      </c>
      <c r="T303">
        <v>6.92</v>
      </c>
      <c r="U303">
        <v>14.4</v>
      </c>
      <c r="V303">
        <v>18.87</v>
      </c>
      <c r="Y303">
        <v>1.6</v>
      </c>
      <c r="Z303">
        <v>3.84</v>
      </c>
      <c r="AA303">
        <v>4.76</v>
      </c>
      <c r="AB303">
        <v>14.71</v>
      </c>
    </row>
    <row r="304" spans="1:28" hidden="1" x14ac:dyDescent="0.2">
      <c r="A304" t="s">
        <v>1731</v>
      </c>
      <c r="B304" t="s">
        <v>1732</v>
      </c>
      <c r="N304" s="1">
        <v>44197</v>
      </c>
      <c r="O304">
        <v>-15</v>
      </c>
      <c r="P304" t="s">
        <v>2403</v>
      </c>
      <c r="Q304" t="s">
        <v>32</v>
      </c>
      <c r="R304">
        <v>55.9</v>
      </c>
      <c r="S304">
        <v>5.56</v>
      </c>
      <c r="T304">
        <v>5.37</v>
      </c>
      <c r="U304">
        <v>-15.34</v>
      </c>
      <c r="V304">
        <v>-13.82</v>
      </c>
      <c r="X304" t="s">
        <v>32</v>
      </c>
      <c r="Y304">
        <v>0</v>
      </c>
      <c r="Z304">
        <v>-102.81</v>
      </c>
      <c r="AA304">
        <v>-4.9800000000000004</v>
      </c>
      <c r="AB304">
        <v>-7.11</v>
      </c>
    </row>
    <row r="305" spans="1:28" hidden="1" x14ac:dyDescent="0.2">
      <c r="A305" s="4" t="s">
        <v>1156</v>
      </c>
      <c r="B305" t="s">
        <v>1157</v>
      </c>
      <c r="C305">
        <v>2.1</v>
      </c>
      <c r="D305" s="8">
        <f>(-534.38+472.21)/472.21</f>
        <v>-0.13165752525359484</v>
      </c>
      <c r="E305" t="s">
        <v>2409</v>
      </c>
      <c r="F305">
        <v>84</v>
      </c>
      <c r="G305">
        <v>4.4000000000000004</v>
      </c>
      <c r="H305" t="s">
        <v>53</v>
      </c>
      <c r="I305">
        <v>0</v>
      </c>
      <c r="J305" t="s">
        <v>53</v>
      </c>
      <c r="K305" s="1">
        <v>44138</v>
      </c>
      <c r="L305" t="s">
        <v>26</v>
      </c>
      <c r="M305" t="s">
        <v>77</v>
      </c>
      <c r="N305" s="1">
        <v>44197</v>
      </c>
      <c r="O305">
        <v>1738</v>
      </c>
      <c r="P305" t="s">
        <v>2403</v>
      </c>
      <c r="Q305" t="s">
        <v>32</v>
      </c>
      <c r="R305" s="9">
        <v>91.51</v>
      </c>
      <c r="S305" s="9">
        <v>33.979999999999997</v>
      </c>
      <c r="T305" s="9">
        <v>52.01</v>
      </c>
      <c r="U305">
        <v>39.22</v>
      </c>
      <c r="V305">
        <v>34.21</v>
      </c>
      <c r="X305">
        <v>168</v>
      </c>
      <c r="Y305">
        <v>4</v>
      </c>
      <c r="Z305">
        <v>75.989999999999995</v>
      </c>
      <c r="AA305">
        <v>51.38</v>
      </c>
      <c r="AB305">
        <v>80.12</v>
      </c>
    </row>
    <row r="306" spans="1:28" hidden="1" x14ac:dyDescent="0.2">
      <c r="A306" s="4" t="s">
        <v>1330</v>
      </c>
      <c r="B306" t="s">
        <v>1331</v>
      </c>
      <c r="E306" t="s">
        <v>2407</v>
      </c>
      <c r="F306">
        <v>57</v>
      </c>
      <c r="G306">
        <v>3.7</v>
      </c>
      <c r="H306">
        <v>0</v>
      </c>
      <c r="I306">
        <v>0</v>
      </c>
      <c r="J306" t="s">
        <v>80</v>
      </c>
      <c r="K306" s="1">
        <v>44138</v>
      </c>
      <c r="L306" t="s">
        <v>95</v>
      </c>
      <c r="M306" t="s">
        <v>96</v>
      </c>
      <c r="N306" s="1">
        <v>44193</v>
      </c>
      <c r="O306">
        <v>499838</v>
      </c>
      <c r="Q306">
        <v>1.74</v>
      </c>
      <c r="R306">
        <v>84.52</v>
      </c>
      <c r="S306">
        <v>40.93</v>
      </c>
      <c r="T306">
        <v>37.56</v>
      </c>
      <c r="U306">
        <v>25.23</v>
      </c>
      <c r="V306">
        <v>18.329999999999998</v>
      </c>
      <c r="X306">
        <v>105181</v>
      </c>
      <c r="Y306">
        <v>2</v>
      </c>
      <c r="Z306">
        <v>38.6</v>
      </c>
      <c r="AA306">
        <v>20.96</v>
      </c>
      <c r="AB306">
        <v>29.63</v>
      </c>
    </row>
    <row r="307" spans="1:28" hidden="1" x14ac:dyDescent="0.2">
      <c r="A307" t="s">
        <v>742</v>
      </c>
      <c r="B307" t="s">
        <v>743</v>
      </c>
      <c r="F307">
        <v>60</v>
      </c>
      <c r="H307">
        <v>1</v>
      </c>
      <c r="I307">
        <v>0</v>
      </c>
      <c r="K307" s="1">
        <v>43316</v>
      </c>
      <c r="L307" t="s">
        <v>39</v>
      </c>
      <c r="M307" t="s">
        <v>197</v>
      </c>
      <c r="N307" s="1">
        <v>44192</v>
      </c>
      <c r="Q307">
        <v>1.61</v>
      </c>
      <c r="R307">
        <v>9.31</v>
      </c>
      <c r="S307">
        <v>13.45</v>
      </c>
      <c r="T307">
        <v>19.21</v>
      </c>
      <c r="U307">
        <v>11.39</v>
      </c>
      <c r="V307">
        <v>10.27</v>
      </c>
      <c r="Y307">
        <v>2.1</v>
      </c>
      <c r="Z307">
        <v>10.02</v>
      </c>
      <c r="AA307">
        <v>7.58</v>
      </c>
      <c r="AB307">
        <v>21.37</v>
      </c>
    </row>
    <row r="308" spans="1:28" hidden="1" x14ac:dyDescent="0.2">
      <c r="A308" t="s">
        <v>1523</v>
      </c>
      <c r="B308" t="s">
        <v>1524</v>
      </c>
      <c r="F308">
        <v>71</v>
      </c>
      <c r="H308">
        <v>1</v>
      </c>
      <c r="I308">
        <v>0</v>
      </c>
      <c r="K308" s="1">
        <v>43316</v>
      </c>
      <c r="L308" t="s">
        <v>113</v>
      </c>
      <c r="M308" t="s">
        <v>124</v>
      </c>
      <c r="N308" s="1">
        <v>44193</v>
      </c>
      <c r="Q308">
        <v>1.9</v>
      </c>
      <c r="R308">
        <v>27.03</v>
      </c>
      <c r="S308">
        <v>26.79</v>
      </c>
      <c r="T308">
        <v>25.41</v>
      </c>
      <c r="U308">
        <v>20.46</v>
      </c>
      <c r="V308">
        <v>15.23</v>
      </c>
      <c r="Y308">
        <v>0</v>
      </c>
      <c r="Z308">
        <v>21.43</v>
      </c>
      <c r="AA308">
        <v>3.24</v>
      </c>
      <c r="AB308">
        <v>10.56</v>
      </c>
    </row>
    <row r="309" spans="1:28" hidden="1" x14ac:dyDescent="0.2">
      <c r="A309" s="4" t="s">
        <v>1593</v>
      </c>
      <c r="B309" t="s">
        <v>1594</v>
      </c>
      <c r="F309">
        <v>94</v>
      </c>
      <c r="G309">
        <v>4.8</v>
      </c>
      <c r="H309">
        <v>0</v>
      </c>
      <c r="I309">
        <v>0</v>
      </c>
      <c r="J309" t="s">
        <v>53</v>
      </c>
      <c r="L309" t="s">
        <v>213</v>
      </c>
      <c r="M309" t="s">
        <v>214</v>
      </c>
      <c r="N309" s="1">
        <v>44197</v>
      </c>
      <c r="O309">
        <v>427</v>
      </c>
      <c r="P309" t="s">
        <v>2403</v>
      </c>
      <c r="Q309" t="s">
        <v>32</v>
      </c>
      <c r="R309">
        <v>395.77</v>
      </c>
      <c r="S309" t="s">
        <v>32</v>
      </c>
      <c r="T309" t="s">
        <v>32</v>
      </c>
      <c r="U309" t="s">
        <v>32</v>
      </c>
      <c r="V309" t="s">
        <v>32</v>
      </c>
      <c r="X309">
        <v>132</v>
      </c>
      <c r="Y309">
        <v>1.5</v>
      </c>
      <c r="Z309">
        <v>21.74</v>
      </c>
      <c r="AA309">
        <v>20.079999999999998</v>
      </c>
      <c r="AB309">
        <v>37.44</v>
      </c>
    </row>
    <row r="310" spans="1:28" hidden="1" x14ac:dyDescent="0.2">
      <c r="A310" t="s">
        <v>749</v>
      </c>
      <c r="B310" t="s">
        <v>750</v>
      </c>
      <c r="N310" s="1">
        <v>44194</v>
      </c>
      <c r="R310">
        <v>5.15</v>
      </c>
      <c r="S310">
        <v>-44.91</v>
      </c>
      <c r="T310">
        <v>-30.86</v>
      </c>
      <c r="U310">
        <v>-5.23</v>
      </c>
      <c r="V310">
        <v>-7.16</v>
      </c>
      <c r="Y310">
        <v>0</v>
      </c>
      <c r="Z310">
        <v>-6.96</v>
      </c>
      <c r="AA310">
        <v>-9.24</v>
      </c>
      <c r="AB310">
        <v>-40.15</v>
      </c>
    </row>
    <row r="311" spans="1:28" hidden="1" x14ac:dyDescent="0.2">
      <c r="A311" t="s">
        <v>751</v>
      </c>
      <c r="B311" t="s">
        <v>752</v>
      </c>
      <c r="F311">
        <v>58</v>
      </c>
      <c r="H311">
        <v>0</v>
      </c>
      <c r="I311">
        <v>0</v>
      </c>
      <c r="K311" s="1">
        <v>43316</v>
      </c>
      <c r="L311" t="s">
        <v>43</v>
      </c>
      <c r="M311" t="s">
        <v>264</v>
      </c>
      <c r="N311" s="1">
        <v>44192</v>
      </c>
      <c r="Q311">
        <v>1.0900000000000001</v>
      </c>
      <c r="R311">
        <v>9.74</v>
      </c>
      <c r="S311">
        <v>9.07</v>
      </c>
      <c r="T311">
        <v>14.95</v>
      </c>
      <c r="U311">
        <v>12.07</v>
      </c>
      <c r="V311">
        <v>9.48</v>
      </c>
      <c r="Y311">
        <v>2.8</v>
      </c>
      <c r="Z311">
        <v>-2.6</v>
      </c>
      <c r="AA311">
        <v>-1.92</v>
      </c>
      <c r="AB311">
        <v>-7.86</v>
      </c>
    </row>
    <row r="312" spans="1:28" hidden="1" x14ac:dyDescent="0.2">
      <c r="A312" t="s">
        <v>753</v>
      </c>
      <c r="B312" t="s">
        <v>754</v>
      </c>
      <c r="F312">
        <v>69</v>
      </c>
      <c r="H312">
        <v>1</v>
      </c>
      <c r="I312">
        <v>0</v>
      </c>
      <c r="K312" s="1">
        <v>43316</v>
      </c>
      <c r="L312" t="s">
        <v>113</v>
      </c>
      <c r="M312" t="s">
        <v>124</v>
      </c>
      <c r="N312" s="1">
        <v>44192</v>
      </c>
      <c r="Q312">
        <v>3.22</v>
      </c>
      <c r="R312">
        <v>-3.37</v>
      </c>
      <c r="S312">
        <v>6.49</v>
      </c>
      <c r="T312">
        <v>11.51</v>
      </c>
      <c r="U312">
        <v>12.72</v>
      </c>
      <c r="V312">
        <v>9.1</v>
      </c>
      <c r="Y312">
        <v>3</v>
      </c>
      <c r="Z312">
        <v>11.28</v>
      </c>
      <c r="AA312">
        <v>3.28</v>
      </c>
      <c r="AB312">
        <v>11.78</v>
      </c>
    </row>
    <row r="313" spans="1:28" hidden="1" x14ac:dyDescent="0.2">
      <c r="A313" t="s">
        <v>755</v>
      </c>
      <c r="B313" t="s">
        <v>756</v>
      </c>
      <c r="F313">
        <v>56</v>
      </c>
      <c r="H313">
        <v>1</v>
      </c>
      <c r="I313">
        <v>0</v>
      </c>
      <c r="K313" s="1">
        <v>43316</v>
      </c>
      <c r="L313" t="s">
        <v>113</v>
      </c>
      <c r="M313" t="s">
        <v>124</v>
      </c>
      <c r="N313" s="1">
        <v>44192</v>
      </c>
      <c r="Q313">
        <v>4.12</v>
      </c>
      <c r="R313">
        <v>3.61</v>
      </c>
      <c r="S313">
        <v>6.22</v>
      </c>
      <c r="T313">
        <v>8.3800000000000008</v>
      </c>
      <c r="U313">
        <v>8.74</v>
      </c>
      <c r="V313">
        <v>5.26</v>
      </c>
      <c r="Y313">
        <v>4.0999999999999996</v>
      </c>
      <c r="Z313">
        <v>8.3699999999999992</v>
      </c>
      <c r="AA313">
        <v>1.28</v>
      </c>
      <c r="AB313">
        <v>4.57</v>
      </c>
    </row>
    <row r="314" spans="1:28" x14ac:dyDescent="0.2">
      <c r="A314" s="10" t="s">
        <v>2170</v>
      </c>
      <c r="B314" t="s">
        <v>2171</v>
      </c>
      <c r="C314">
        <v>2.5</v>
      </c>
      <c r="D314" s="8">
        <f>(1127.91-1131.95)/1127.91</f>
        <v>-3.5818460692785448E-3</v>
      </c>
      <c r="E314" t="s">
        <v>2412</v>
      </c>
      <c r="F314">
        <v>81</v>
      </c>
      <c r="G314">
        <v>4.2</v>
      </c>
      <c r="I314" t="s">
        <v>53</v>
      </c>
      <c r="J314" t="s">
        <v>53</v>
      </c>
      <c r="K314" s="1">
        <v>44138</v>
      </c>
      <c r="N314" s="1">
        <v>44197</v>
      </c>
      <c r="O314">
        <v>196</v>
      </c>
      <c r="P314" t="s">
        <v>2403</v>
      </c>
      <c r="Q314" t="s">
        <v>32</v>
      </c>
      <c r="R314" s="9">
        <v>184.71</v>
      </c>
      <c r="S314" s="9">
        <v>123.79</v>
      </c>
      <c r="T314" s="9">
        <v>113.03</v>
      </c>
      <c r="U314" t="s">
        <v>32</v>
      </c>
      <c r="V314" t="s">
        <v>32</v>
      </c>
      <c r="W314">
        <f>AVERAGE(R314:T314)</f>
        <v>140.51</v>
      </c>
      <c r="X314">
        <v>496</v>
      </c>
      <c r="Y314">
        <v>0</v>
      </c>
      <c r="Z314">
        <v>7.99</v>
      </c>
      <c r="AA314">
        <v>3.69</v>
      </c>
      <c r="AB314">
        <v>4.37</v>
      </c>
    </row>
    <row r="315" spans="1:28" hidden="1" x14ac:dyDescent="0.2">
      <c r="A315" t="s">
        <v>760</v>
      </c>
      <c r="B315" t="s">
        <v>761</v>
      </c>
      <c r="F315">
        <v>20</v>
      </c>
      <c r="H315">
        <v>1</v>
      </c>
      <c r="I315">
        <v>0</v>
      </c>
      <c r="K315" s="1">
        <v>43316</v>
      </c>
      <c r="L315" t="s">
        <v>226</v>
      </c>
      <c r="M315" t="s">
        <v>243</v>
      </c>
      <c r="N315" s="1">
        <v>44192</v>
      </c>
      <c r="Q315">
        <v>2.86</v>
      </c>
      <c r="R315">
        <v>-39.68</v>
      </c>
      <c r="S315">
        <v>-26.27</v>
      </c>
      <c r="T315">
        <v>-11.94</v>
      </c>
      <c r="U315">
        <v>-12</v>
      </c>
      <c r="V315">
        <v>-6.19</v>
      </c>
      <c r="Y315">
        <v>4.0999999999999996</v>
      </c>
      <c r="Z315">
        <v>-62.68</v>
      </c>
      <c r="AA315">
        <v>-26.05</v>
      </c>
      <c r="AB315">
        <v>-67.33</v>
      </c>
    </row>
    <row r="316" spans="1:28" hidden="1" x14ac:dyDescent="0.2">
      <c r="A316" t="s">
        <v>762</v>
      </c>
      <c r="B316" t="s">
        <v>763</v>
      </c>
      <c r="L316" t="s">
        <v>95</v>
      </c>
      <c r="M316" t="s">
        <v>511</v>
      </c>
      <c r="N316" s="1">
        <v>44192</v>
      </c>
      <c r="Q316">
        <v>1.92</v>
      </c>
      <c r="R316">
        <v>-38.229999999999997</v>
      </c>
      <c r="S316">
        <v>-29.65</v>
      </c>
      <c r="T316">
        <v>0.95</v>
      </c>
      <c r="U316">
        <v>4.49</v>
      </c>
      <c r="V316">
        <v>2.94</v>
      </c>
      <c r="Y316">
        <v>0</v>
      </c>
      <c r="Z316">
        <v>-20.440000000000001</v>
      </c>
      <c r="AA316">
        <v>-14</v>
      </c>
      <c r="AB316">
        <v>-59.64</v>
      </c>
    </row>
    <row r="317" spans="1:28" hidden="1" x14ac:dyDescent="0.2">
      <c r="A317" s="4" t="s">
        <v>1428</v>
      </c>
      <c r="B317" t="s">
        <v>1429</v>
      </c>
      <c r="E317" t="s">
        <v>2409</v>
      </c>
      <c r="F317">
        <v>75</v>
      </c>
      <c r="G317">
        <v>4.3</v>
      </c>
      <c r="H317">
        <v>0</v>
      </c>
      <c r="I317">
        <v>0</v>
      </c>
      <c r="J317" t="s">
        <v>53</v>
      </c>
      <c r="K317" s="1">
        <v>44138</v>
      </c>
      <c r="L317" t="s">
        <v>95</v>
      </c>
      <c r="M317" t="s">
        <v>558</v>
      </c>
      <c r="N317" s="1">
        <v>44193</v>
      </c>
      <c r="O317">
        <v>47496</v>
      </c>
      <c r="Q317">
        <v>0.98</v>
      </c>
      <c r="R317" s="6">
        <v>42.86</v>
      </c>
      <c r="S317">
        <v>38.76</v>
      </c>
      <c r="T317" s="6">
        <v>32.979999999999997</v>
      </c>
      <c r="U317" s="6">
        <v>23.65</v>
      </c>
      <c r="V317" s="6">
        <v>15.74</v>
      </c>
      <c r="W317" s="6"/>
      <c r="X317">
        <v>19630</v>
      </c>
      <c r="Y317">
        <v>2.6</v>
      </c>
      <c r="Z317">
        <v>32.29</v>
      </c>
      <c r="AA317">
        <v>16.38</v>
      </c>
      <c r="AB317">
        <v>41.4</v>
      </c>
    </row>
    <row r="318" spans="1:28" hidden="1" x14ac:dyDescent="0.2">
      <c r="A318" t="s">
        <v>1739</v>
      </c>
      <c r="B318" t="s">
        <v>1740</v>
      </c>
      <c r="N318" s="1">
        <v>44197</v>
      </c>
      <c r="O318">
        <v>-4</v>
      </c>
      <c r="P318" t="s">
        <v>2403</v>
      </c>
      <c r="Q318" t="s">
        <v>32</v>
      </c>
      <c r="R318">
        <v>-2.42</v>
      </c>
      <c r="S318">
        <v>-34.51</v>
      </c>
      <c r="T318">
        <v>-22.83</v>
      </c>
      <c r="U318">
        <v>-12.7</v>
      </c>
      <c r="V318">
        <v>-13.55</v>
      </c>
      <c r="X318" t="s">
        <v>32</v>
      </c>
      <c r="Y318">
        <v>0</v>
      </c>
      <c r="Z318">
        <v>-9.81</v>
      </c>
      <c r="AA318">
        <v>-12.17</v>
      </c>
      <c r="AB318">
        <v>-47.88</v>
      </c>
    </row>
    <row r="319" spans="1:28" hidden="1" x14ac:dyDescent="0.2">
      <c r="A319" t="s">
        <v>768</v>
      </c>
      <c r="B319" t="s">
        <v>769</v>
      </c>
      <c r="F319">
        <v>68</v>
      </c>
      <c r="H319">
        <v>0</v>
      </c>
      <c r="I319">
        <v>0</v>
      </c>
      <c r="J319" t="s">
        <v>80</v>
      </c>
      <c r="K319" s="1">
        <v>43316</v>
      </c>
      <c r="L319" t="s">
        <v>95</v>
      </c>
      <c r="M319" t="s">
        <v>741</v>
      </c>
      <c r="N319" s="1">
        <v>44194</v>
      </c>
      <c r="O319">
        <v>1314</v>
      </c>
      <c r="R319">
        <v>29.94</v>
      </c>
      <c r="S319">
        <v>10.19</v>
      </c>
      <c r="T319">
        <v>15.28</v>
      </c>
      <c r="U319">
        <v>24.19</v>
      </c>
      <c r="V319">
        <v>6.8</v>
      </c>
      <c r="X319">
        <v>1650</v>
      </c>
      <c r="Y319">
        <v>4</v>
      </c>
      <c r="Z319">
        <v>23.51</v>
      </c>
      <c r="AA319">
        <v>11.91</v>
      </c>
      <c r="AB319">
        <v>17.25</v>
      </c>
    </row>
    <row r="320" spans="1:28" hidden="1" x14ac:dyDescent="0.2">
      <c r="A320" t="s">
        <v>58</v>
      </c>
      <c r="B320" t="s">
        <v>59</v>
      </c>
      <c r="F320">
        <v>55</v>
      </c>
      <c r="G320">
        <v>4.0999999999999996</v>
      </c>
      <c r="H320">
        <v>0</v>
      </c>
      <c r="I320">
        <v>0</v>
      </c>
      <c r="J320" t="s">
        <v>53</v>
      </c>
      <c r="K320" s="1">
        <v>43716</v>
      </c>
      <c r="L320" t="s">
        <v>39</v>
      </c>
      <c r="M320" t="s">
        <v>60</v>
      </c>
      <c r="N320" s="1">
        <v>44197</v>
      </c>
      <c r="O320">
        <v>-6234</v>
      </c>
      <c r="P320" t="s">
        <v>2403</v>
      </c>
      <c r="Q320" t="s">
        <v>32</v>
      </c>
      <c r="R320">
        <v>-22.93</v>
      </c>
      <c r="S320">
        <v>5.18</v>
      </c>
      <c r="T320">
        <v>11.53</v>
      </c>
      <c r="U320">
        <v>18.02</v>
      </c>
      <c r="V320" t="s">
        <v>32</v>
      </c>
      <c r="X320">
        <v>3240</v>
      </c>
      <c r="Y320">
        <v>0</v>
      </c>
      <c r="Z320">
        <v>-11.44</v>
      </c>
      <c r="AA320">
        <v>-5.48</v>
      </c>
      <c r="AB320">
        <v>-187.74</v>
      </c>
    </row>
    <row r="321" spans="1:28" hidden="1" x14ac:dyDescent="0.2">
      <c r="A321" t="s">
        <v>772</v>
      </c>
      <c r="B321" t="s">
        <v>773</v>
      </c>
      <c r="F321">
        <v>50</v>
      </c>
      <c r="H321">
        <v>1</v>
      </c>
      <c r="I321">
        <v>0</v>
      </c>
      <c r="K321" s="1">
        <v>43316</v>
      </c>
      <c r="L321" t="s">
        <v>43</v>
      </c>
      <c r="M321" t="s">
        <v>47</v>
      </c>
      <c r="N321" s="1">
        <v>44192</v>
      </c>
      <c r="O321">
        <v>5378</v>
      </c>
      <c r="Q321">
        <v>1.27</v>
      </c>
      <c r="R321">
        <v>40.18</v>
      </c>
      <c r="S321">
        <v>10.77</v>
      </c>
      <c r="T321">
        <v>13.16</v>
      </c>
      <c r="U321">
        <v>12.14</v>
      </c>
      <c r="V321">
        <v>4.72</v>
      </c>
      <c r="X321">
        <v>1293</v>
      </c>
      <c r="Y321">
        <v>0.8</v>
      </c>
      <c r="Z321">
        <v>45.56</v>
      </c>
      <c r="AA321">
        <v>28.96</v>
      </c>
      <c r="AB321">
        <v>173.76</v>
      </c>
    </row>
    <row r="322" spans="1:28" hidden="1" x14ac:dyDescent="0.2">
      <c r="A322" t="s">
        <v>774</v>
      </c>
      <c r="B322" t="s">
        <v>775</v>
      </c>
      <c r="L322" t="s">
        <v>226</v>
      </c>
      <c r="M322" t="s">
        <v>243</v>
      </c>
    </row>
    <row r="323" spans="1:28" x14ac:dyDescent="0.2">
      <c r="A323" s="10" t="s">
        <v>2226</v>
      </c>
      <c r="B323" t="s">
        <v>2227</v>
      </c>
      <c r="C323">
        <v>2.4</v>
      </c>
      <c r="D323" s="8">
        <f>(-217.64+207.53)/207.53</f>
        <v>-4.8715848311087481E-2</v>
      </c>
      <c r="E323" t="s">
        <v>2406</v>
      </c>
      <c r="F323">
        <v>74</v>
      </c>
      <c r="G323">
        <v>4</v>
      </c>
      <c r="H323" t="s">
        <v>53</v>
      </c>
      <c r="I323" t="s">
        <v>53</v>
      </c>
      <c r="J323" t="s">
        <v>80</v>
      </c>
      <c r="K323" s="1">
        <v>44138</v>
      </c>
      <c r="N323" s="1">
        <v>44197</v>
      </c>
      <c r="O323">
        <v>310</v>
      </c>
      <c r="P323" t="s">
        <v>2403</v>
      </c>
      <c r="Q323" t="s">
        <v>32</v>
      </c>
      <c r="R323" s="9">
        <v>247.89</v>
      </c>
      <c r="S323" s="9">
        <v>84.47</v>
      </c>
      <c r="T323" s="9">
        <v>75.45</v>
      </c>
      <c r="U323" t="s">
        <v>32</v>
      </c>
      <c r="V323" t="s">
        <v>32</v>
      </c>
      <c r="W323">
        <f>AVERAGE(R323:T323)</f>
        <v>135.93666666666667</v>
      </c>
      <c r="X323">
        <v>802</v>
      </c>
      <c r="Y323">
        <v>4.4000000000000004</v>
      </c>
      <c r="Z323">
        <v>4.05</v>
      </c>
      <c r="AA323">
        <v>5.12</v>
      </c>
      <c r="AB323">
        <v>18.72</v>
      </c>
    </row>
    <row r="324" spans="1:28" hidden="1" x14ac:dyDescent="0.2">
      <c r="A324" t="s">
        <v>1741</v>
      </c>
      <c r="B324" t="s">
        <v>1742</v>
      </c>
      <c r="N324" s="1">
        <v>44197</v>
      </c>
      <c r="O324">
        <v>218</v>
      </c>
      <c r="P324" t="s">
        <v>2403</v>
      </c>
      <c r="Q324" t="s">
        <v>32</v>
      </c>
      <c r="R324">
        <v>10.15</v>
      </c>
      <c r="S324">
        <v>-2.56</v>
      </c>
      <c r="T324">
        <v>6.02</v>
      </c>
      <c r="U324">
        <v>5.21</v>
      </c>
      <c r="V324">
        <v>5.54</v>
      </c>
      <c r="X324" t="s">
        <v>32</v>
      </c>
      <c r="Y324">
        <v>0.2</v>
      </c>
      <c r="Z324">
        <v>14.84</v>
      </c>
      <c r="AA324">
        <v>4.6100000000000003</v>
      </c>
      <c r="AB324">
        <v>21.28</v>
      </c>
    </row>
    <row r="325" spans="1:28" hidden="1" x14ac:dyDescent="0.2">
      <c r="A325" t="s">
        <v>780</v>
      </c>
      <c r="B325" t="s">
        <v>781</v>
      </c>
      <c r="F325">
        <v>54</v>
      </c>
      <c r="H325">
        <v>1</v>
      </c>
      <c r="I325">
        <v>0</v>
      </c>
      <c r="K325" s="1">
        <v>43316</v>
      </c>
      <c r="L325" t="s">
        <v>113</v>
      </c>
      <c r="M325" t="s">
        <v>124</v>
      </c>
      <c r="N325" s="1">
        <v>44192</v>
      </c>
      <c r="Q325">
        <v>4.01</v>
      </c>
      <c r="R325">
        <v>-18.03</v>
      </c>
      <c r="S325">
        <v>-2.1800000000000002</v>
      </c>
      <c r="T325">
        <v>5.53</v>
      </c>
      <c r="U325">
        <v>6.95</v>
      </c>
      <c r="V325">
        <v>5.77</v>
      </c>
      <c r="Y325">
        <v>4.5999999999999996</v>
      </c>
      <c r="Z325">
        <v>11.06</v>
      </c>
      <c r="AA325">
        <v>2.34</v>
      </c>
      <c r="AB325">
        <v>7.42</v>
      </c>
    </row>
    <row r="326" spans="1:28" hidden="1" x14ac:dyDescent="0.2">
      <c r="A326" t="s">
        <v>782</v>
      </c>
      <c r="B326" t="s">
        <v>783</v>
      </c>
      <c r="J326" t="s">
        <v>68</v>
      </c>
    </row>
    <row r="327" spans="1:28" hidden="1" x14ac:dyDescent="0.2">
      <c r="A327" s="2" t="s">
        <v>2340</v>
      </c>
      <c r="B327" t="s">
        <v>2341</v>
      </c>
      <c r="F327">
        <v>63</v>
      </c>
      <c r="G327">
        <v>3.8</v>
      </c>
      <c r="J327" t="s">
        <v>68</v>
      </c>
      <c r="L327" t="s">
        <v>95</v>
      </c>
      <c r="M327" t="s">
        <v>430</v>
      </c>
      <c r="N327" s="1">
        <v>44194</v>
      </c>
      <c r="O327">
        <v>11628</v>
      </c>
      <c r="R327">
        <v>193.53</v>
      </c>
      <c r="S327" t="s">
        <v>32</v>
      </c>
      <c r="T327" t="s">
        <v>32</v>
      </c>
      <c r="U327" t="s">
        <v>32</v>
      </c>
      <c r="V327" t="s">
        <v>32</v>
      </c>
      <c r="X327">
        <v>8115</v>
      </c>
      <c r="Y327">
        <v>1.7</v>
      </c>
      <c r="Z327">
        <v>5.45</v>
      </c>
      <c r="AA327">
        <v>6.52</v>
      </c>
      <c r="AB327">
        <v>13.97</v>
      </c>
    </row>
    <row r="328" spans="1:28" hidden="1" x14ac:dyDescent="0.2">
      <c r="A328" s="4" t="s">
        <v>1436</v>
      </c>
      <c r="B328" t="s">
        <v>1437</v>
      </c>
      <c r="F328">
        <v>64</v>
      </c>
      <c r="I328">
        <v>0</v>
      </c>
      <c r="J328" t="s">
        <v>53</v>
      </c>
      <c r="K328" s="1">
        <v>43316</v>
      </c>
      <c r="L328" t="s">
        <v>95</v>
      </c>
      <c r="M328" t="s">
        <v>542</v>
      </c>
      <c r="N328" s="1">
        <v>44197</v>
      </c>
      <c r="O328">
        <v>429</v>
      </c>
      <c r="P328" t="s">
        <v>2403</v>
      </c>
      <c r="Q328" t="s">
        <v>32</v>
      </c>
      <c r="R328" s="6">
        <v>66.430000000000007</v>
      </c>
      <c r="S328">
        <v>42.81</v>
      </c>
      <c r="T328">
        <v>38.04</v>
      </c>
      <c r="U328" s="6">
        <v>23.1</v>
      </c>
      <c r="V328" s="6">
        <v>13.97</v>
      </c>
      <c r="W328" s="6"/>
      <c r="X328">
        <v>900</v>
      </c>
      <c r="Y328">
        <v>1.8</v>
      </c>
      <c r="Z328" t="s">
        <v>2403</v>
      </c>
      <c r="AA328" t="s">
        <v>2403</v>
      </c>
      <c r="AB328" t="s">
        <v>2403</v>
      </c>
    </row>
    <row r="329" spans="1:28" hidden="1" x14ac:dyDescent="0.2">
      <c r="A329" s="4" t="s">
        <v>1325</v>
      </c>
      <c r="B329" t="s">
        <v>1326</v>
      </c>
      <c r="C329">
        <v>2.1</v>
      </c>
      <c r="D329" s="8">
        <f>(592.84-522.2)/592.84</f>
        <v>0.11915525268200523</v>
      </c>
      <c r="E329" t="s">
        <v>2409</v>
      </c>
      <c r="F329">
        <v>87</v>
      </c>
      <c r="G329">
        <v>4.8</v>
      </c>
      <c r="H329" t="s">
        <v>53</v>
      </c>
      <c r="I329">
        <v>0</v>
      </c>
      <c r="J329" t="s">
        <v>53</v>
      </c>
      <c r="K329" s="1">
        <v>44138</v>
      </c>
      <c r="L329" t="s">
        <v>95</v>
      </c>
      <c r="M329" t="s">
        <v>96</v>
      </c>
      <c r="N329" s="1">
        <v>44193</v>
      </c>
      <c r="O329">
        <v>3826</v>
      </c>
      <c r="Q329">
        <v>0.12</v>
      </c>
      <c r="R329" s="9">
        <v>118.08</v>
      </c>
      <c r="S329" s="9">
        <v>38.75</v>
      </c>
      <c r="T329" s="9">
        <v>73.58</v>
      </c>
      <c r="U329">
        <v>42.74</v>
      </c>
      <c r="V329">
        <v>28.27</v>
      </c>
      <c r="W329">
        <f>AVERAGE(R329:T329)</f>
        <v>76.803333333333327</v>
      </c>
      <c r="X329">
        <v>3516</v>
      </c>
      <c r="Y329">
        <v>2.9</v>
      </c>
      <c r="Z329">
        <v>25.89</v>
      </c>
      <c r="AA329">
        <v>17.920000000000002</v>
      </c>
      <c r="AB329">
        <v>28.82</v>
      </c>
    </row>
    <row r="330" spans="1:28" hidden="1" x14ac:dyDescent="0.2">
      <c r="A330" t="s">
        <v>790</v>
      </c>
      <c r="B330" t="s">
        <v>791</v>
      </c>
      <c r="F330">
        <v>46</v>
      </c>
      <c r="H330">
        <v>1</v>
      </c>
      <c r="I330">
        <v>0</v>
      </c>
      <c r="K330" s="1">
        <v>43316</v>
      </c>
      <c r="L330" t="s">
        <v>113</v>
      </c>
      <c r="M330" t="s">
        <v>124</v>
      </c>
      <c r="N330" s="1">
        <v>44192</v>
      </c>
      <c r="Q330">
        <v>4.16</v>
      </c>
      <c r="R330">
        <v>-13.47</v>
      </c>
      <c r="S330">
        <v>2.19</v>
      </c>
      <c r="T330">
        <v>4.07</v>
      </c>
      <c r="U330">
        <v>7.63</v>
      </c>
      <c r="V330">
        <v>4.67</v>
      </c>
      <c r="Y330">
        <v>5.6</v>
      </c>
      <c r="Z330">
        <v>2.66</v>
      </c>
      <c r="AA330">
        <v>0.54</v>
      </c>
      <c r="AB330">
        <v>2.65</v>
      </c>
    </row>
    <row r="331" spans="1:28" hidden="1" x14ac:dyDescent="0.2">
      <c r="A331" s="4" t="s">
        <v>428</v>
      </c>
      <c r="B331" t="s">
        <v>429</v>
      </c>
      <c r="C331">
        <v>2</v>
      </c>
      <c r="D331" s="8">
        <f>(128.55-132.69)/128.55</f>
        <v>-3.22053675612601E-2</v>
      </c>
      <c r="E331" t="s">
        <v>2406</v>
      </c>
      <c r="F331">
        <v>76</v>
      </c>
      <c r="G331">
        <v>4.2</v>
      </c>
      <c r="H331" t="s">
        <v>53</v>
      </c>
      <c r="I331">
        <v>0</v>
      </c>
      <c r="J331" t="s">
        <v>53</v>
      </c>
      <c r="K331" s="1">
        <v>44138</v>
      </c>
      <c r="L331" t="s">
        <v>95</v>
      </c>
      <c r="M331" t="s">
        <v>430</v>
      </c>
      <c r="N331" s="1">
        <v>44189</v>
      </c>
      <c r="O331">
        <v>57411</v>
      </c>
      <c r="P331">
        <v>147000</v>
      </c>
      <c r="Q331">
        <v>0.68</v>
      </c>
      <c r="R331" s="9">
        <v>85.59</v>
      </c>
      <c r="S331" s="9">
        <v>44.94</v>
      </c>
      <c r="T331" s="9">
        <v>37.700000000000003</v>
      </c>
      <c r="U331">
        <v>27.96</v>
      </c>
      <c r="V331">
        <v>30.12</v>
      </c>
      <c r="W331">
        <f>AVERAGE(R331:T331)</f>
        <v>56.076666666666675</v>
      </c>
      <c r="X331">
        <v>18752</v>
      </c>
      <c r="Y331">
        <v>3.3</v>
      </c>
      <c r="Z331">
        <v>20.91</v>
      </c>
      <c r="AA331">
        <v>17.329999999999998</v>
      </c>
      <c r="AB331">
        <v>73.69</v>
      </c>
    </row>
    <row r="332" spans="1:28" hidden="1" x14ac:dyDescent="0.2">
      <c r="A332" t="s">
        <v>794</v>
      </c>
      <c r="B332" t="s">
        <v>795</v>
      </c>
      <c r="L332" t="s">
        <v>39</v>
      </c>
      <c r="M332" t="s">
        <v>748</v>
      </c>
      <c r="N332" s="1">
        <v>44192</v>
      </c>
      <c r="Q332">
        <v>0.37</v>
      </c>
      <c r="R332">
        <v>5.33</v>
      </c>
      <c r="S332">
        <v>4.13</v>
      </c>
      <c r="T332">
        <v>14.36</v>
      </c>
      <c r="U332">
        <v>12.35</v>
      </c>
      <c r="V332">
        <v>12.05</v>
      </c>
      <c r="Y332">
        <v>0</v>
      </c>
      <c r="Z332">
        <v>1.57</v>
      </c>
      <c r="AA332">
        <v>2.99</v>
      </c>
      <c r="AB332">
        <v>7.04</v>
      </c>
    </row>
    <row r="333" spans="1:28" hidden="1" x14ac:dyDescent="0.2">
      <c r="A333" t="s">
        <v>796</v>
      </c>
      <c r="B333" t="s">
        <v>797</v>
      </c>
      <c r="F333">
        <v>62</v>
      </c>
      <c r="H333">
        <v>1</v>
      </c>
      <c r="I333">
        <v>0</v>
      </c>
      <c r="K333" s="1">
        <v>43316</v>
      </c>
      <c r="L333" t="s">
        <v>30</v>
      </c>
      <c r="M333" t="s">
        <v>248</v>
      </c>
      <c r="N333" s="1">
        <v>44192</v>
      </c>
      <c r="O333">
        <v>472</v>
      </c>
      <c r="Q333">
        <v>2.71</v>
      </c>
      <c r="R333">
        <v>31.59</v>
      </c>
      <c r="S333">
        <v>5.5</v>
      </c>
      <c r="T333">
        <v>10.35</v>
      </c>
      <c r="U333">
        <v>11.21</v>
      </c>
      <c r="V333">
        <v>10.87</v>
      </c>
      <c r="X333">
        <v>229</v>
      </c>
      <c r="Y333">
        <v>5.9</v>
      </c>
      <c r="Z333">
        <v>5.56</v>
      </c>
      <c r="AA333">
        <v>2.94</v>
      </c>
      <c r="AB333">
        <v>7.8</v>
      </c>
    </row>
    <row r="334" spans="1:28" hidden="1" x14ac:dyDescent="0.2">
      <c r="A334" t="s">
        <v>798</v>
      </c>
      <c r="B334" t="s">
        <v>799</v>
      </c>
      <c r="F334">
        <v>56</v>
      </c>
      <c r="H334">
        <v>1</v>
      </c>
      <c r="I334">
        <v>0</v>
      </c>
      <c r="K334" s="1">
        <v>43316</v>
      </c>
      <c r="L334" t="s">
        <v>39</v>
      </c>
      <c r="M334" t="s">
        <v>197</v>
      </c>
      <c r="N334" s="1">
        <v>44192</v>
      </c>
      <c r="Q334">
        <v>2.61</v>
      </c>
      <c r="R334">
        <v>7.73</v>
      </c>
      <c r="S334">
        <v>7.24</v>
      </c>
      <c r="T334">
        <v>13.21</v>
      </c>
      <c r="U334">
        <v>5.49</v>
      </c>
      <c r="V334">
        <v>6.87</v>
      </c>
      <c r="Y334">
        <v>2.8</v>
      </c>
      <c r="Z334">
        <v>11.71</v>
      </c>
      <c r="AA334">
        <v>9.06</v>
      </c>
      <c r="AB334">
        <v>23.62</v>
      </c>
    </row>
    <row r="335" spans="1:28" hidden="1" x14ac:dyDescent="0.2">
      <c r="A335" t="s">
        <v>800</v>
      </c>
      <c r="B335" t="s">
        <v>801</v>
      </c>
      <c r="F335">
        <v>23</v>
      </c>
      <c r="H335">
        <v>1</v>
      </c>
      <c r="I335">
        <v>0</v>
      </c>
      <c r="K335" s="1">
        <v>43316</v>
      </c>
      <c r="L335" t="s">
        <v>226</v>
      </c>
      <c r="M335" t="s">
        <v>386</v>
      </c>
      <c r="N335" s="1">
        <v>44192</v>
      </c>
      <c r="Q335">
        <v>7.8</v>
      </c>
      <c r="R335">
        <v>-12.52</v>
      </c>
      <c r="S335">
        <v>0.23</v>
      </c>
      <c r="T335">
        <v>4.78</v>
      </c>
      <c r="U335">
        <v>5.71</v>
      </c>
      <c r="V335">
        <v>8.23</v>
      </c>
      <c r="Y335">
        <v>0</v>
      </c>
      <c r="Z335">
        <v>4.72</v>
      </c>
      <c r="AA335">
        <v>1.19</v>
      </c>
      <c r="AB335">
        <v>3.28</v>
      </c>
    </row>
    <row r="336" spans="1:28" hidden="1" x14ac:dyDescent="0.2">
      <c r="A336" t="s">
        <v>802</v>
      </c>
      <c r="B336" t="s">
        <v>803</v>
      </c>
      <c r="L336" t="s">
        <v>226</v>
      </c>
      <c r="M336" t="s">
        <v>386</v>
      </c>
      <c r="N336" s="1">
        <v>44192</v>
      </c>
      <c r="Q336">
        <v>12.67</v>
      </c>
      <c r="R336">
        <v>-30.71</v>
      </c>
      <c r="S336">
        <v>-27.82</v>
      </c>
      <c r="T336">
        <v>-12.06</v>
      </c>
      <c r="U336">
        <v>2.4700000000000002</v>
      </c>
      <c r="V336">
        <v>-2.41</v>
      </c>
      <c r="Y336">
        <v>0</v>
      </c>
      <c r="Z336">
        <v>-30.26</v>
      </c>
      <c r="AA336">
        <v>-12.69</v>
      </c>
      <c r="AB336">
        <v>-49.59</v>
      </c>
    </row>
    <row r="337" spans="1:28" hidden="1" x14ac:dyDescent="0.2">
      <c r="A337" s="4" t="s">
        <v>697</v>
      </c>
      <c r="B337" t="s">
        <v>698</v>
      </c>
      <c r="F337">
        <v>73</v>
      </c>
      <c r="G337">
        <v>4.0999999999999996</v>
      </c>
      <c r="H337">
        <v>1</v>
      </c>
      <c r="I337">
        <v>0</v>
      </c>
      <c r="J337" t="s">
        <v>80</v>
      </c>
      <c r="K337" s="1">
        <v>43716</v>
      </c>
      <c r="L337" t="s">
        <v>39</v>
      </c>
      <c r="M337" t="s">
        <v>134</v>
      </c>
      <c r="N337" s="1">
        <v>44192</v>
      </c>
      <c r="O337">
        <v>2751</v>
      </c>
      <c r="Q337">
        <v>1.1599999999999999</v>
      </c>
      <c r="R337" s="6">
        <v>56.02</v>
      </c>
      <c r="S337" s="6">
        <v>20.83</v>
      </c>
      <c r="T337" s="6">
        <v>29.11</v>
      </c>
      <c r="U337" s="6">
        <v>13.35</v>
      </c>
      <c r="V337" s="6">
        <v>15.27</v>
      </c>
      <c r="W337" s="6"/>
      <c r="X337">
        <v>1644</v>
      </c>
      <c r="Y337">
        <v>1.8</v>
      </c>
      <c r="Z337">
        <v>7.8</v>
      </c>
      <c r="AA337">
        <v>3.72</v>
      </c>
      <c r="AB337">
        <v>22.6</v>
      </c>
    </row>
    <row r="338" spans="1:28" hidden="1" x14ac:dyDescent="0.2">
      <c r="A338" t="s">
        <v>806</v>
      </c>
      <c r="B338" t="s">
        <v>807</v>
      </c>
      <c r="N338" s="1">
        <v>44192</v>
      </c>
      <c r="Q338">
        <v>2.86</v>
      </c>
      <c r="R338">
        <v>-12.13</v>
      </c>
      <c r="S338">
        <v>-1.32</v>
      </c>
      <c r="T338">
        <v>7.16</v>
      </c>
      <c r="U338" t="s">
        <v>32</v>
      </c>
      <c r="V338" t="s">
        <v>32</v>
      </c>
      <c r="Y338">
        <v>0</v>
      </c>
      <c r="Z338">
        <v>-3.99</v>
      </c>
      <c r="AA338">
        <v>-1.96</v>
      </c>
      <c r="AB338">
        <v>-25.68</v>
      </c>
    </row>
    <row r="339" spans="1:28" hidden="1" x14ac:dyDescent="0.2">
      <c r="A339" t="s">
        <v>808</v>
      </c>
      <c r="B339" t="s">
        <v>809</v>
      </c>
      <c r="F339">
        <v>48</v>
      </c>
      <c r="H339">
        <v>1</v>
      </c>
      <c r="I339">
        <v>0</v>
      </c>
      <c r="K339" s="1">
        <v>43316</v>
      </c>
      <c r="L339" t="s">
        <v>95</v>
      </c>
      <c r="M339" t="s">
        <v>117</v>
      </c>
      <c r="N339" s="1">
        <v>44192</v>
      </c>
      <c r="Q339">
        <v>0.86</v>
      </c>
      <c r="R339">
        <v>11.4</v>
      </c>
      <c r="S339">
        <v>6.67</v>
      </c>
      <c r="T339">
        <v>8.6999999999999993</v>
      </c>
      <c r="U339">
        <v>10.42</v>
      </c>
      <c r="V339">
        <v>13.16</v>
      </c>
      <c r="Y339">
        <v>1.6</v>
      </c>
      <c r="Z339">
        <v>3.27</v>
      </c>
      <c r="AA339">
        <v>2.92</v>
      </c>
      <c r="AB339">
        <v>7.04</v>
      </c>
    </row>
    <row r="340" spans="1:28" hidden="1" x14ac:dyDescent="0.2">
      <c r="A340" t="s">
        <v>810</v>
      </c>
      <c r="B340" t="s">
        <v>811</v>
      </c>
      <c r="F340">
        <v>57</v>
      </c>
      <c r="H340">
        <v>1</v>
      </c>
      <c r="I340">
        <v>0</v>
      </c>
      <c r="K340" s="1">
        <v>43316</v>
      </c>
      <c r="L340" t="s">
        <v>226</v>
      </c>
      <c r="M340" t="s">
        <v>243</v>
      </c>
      <c r="N340" s="1">
        <v>44192</v>
      </c>
      <c r="Q340">
        <v>3.01</v>
      </c>
      <c r="R340">
        <v>-39.130000000000003</v>
      </c>
      <c r="S340">
        <v>-21.01</v>
      </c>
      <c r="T340">
        <v>-5.92</v>
      </c>
      <c r="U340">
        <v>2.11</v>
      </c>
      <c r="V340">
        <v>2.79</v>
      </c>
      <c r="Y340">
        <v>5.8</v>
      </c>
      <c r="Z340">
        <v>-2.72</v>
      </c>
      <c r="AA340">
        <v>-0.85</v>
      </c>
      <c r="AB340">
        <v>-1.48</v>
      </c>
    </row>
    <row r="341" spans="1:28" hidden="1" x14ac:dyDescent="0.2">
      <c r="A341" t="s">
        <v>812</v>
      </c>
      <c r="B341" t="s">
        <v>813</v>
      </c>
      <c r="F341">
        <v>72</v>
      </c>
      <c r="H341">
        <v>1</v>
      </c>
      <c r="I341">
        <v>0</v>
      </c>
      <c r="K341" s="1">
        <v>43316</v>
      </c>
      <c r="L341" t="s">
        <v>226</v>
      </c>
      <c r="M341" t="s">
        <v>386</v>
      </c>
      <c r="N341" s="1">
        <v>44192</v>
      </c>
      <c r="Q341">
        <v>9.18</v>
      </c>
      <c r="R341">
        <v>-23.64</v>
      </c>
      <c r="S341">
        <v>-1.66</v>
      </c>
      <c r="T341">
        <v>1.8</v>
      </c>
      <c r="U341">
        <v>5.48</v>
      </c>
      <c r="V341">
        <v>8.42</v>
      </c>
      <c r="Y341">
        <v>67.900000000000006</v>
      </c>
      <c r="Z341">
        <v>16.09</v>
      </c>
      <c r="AA341">
        <v>7.26</v>
      </c>
      <c r="AB341">
        <v>18.28</v>
      </c>
    </row>
    <row r="342" spans="1:28" hidden="1" x14ac:dyDescent="0.2">
      <c r="A342" s="4" t="s">
        <v>462</v>
      </c>
      <c r="B342" t="s">
        <v>463</v>
      </c>
      <c r="C342">
        <v>1.9</v>
      </c>
      <c r="D342" s="8">
        <f>(-234.2+230.78)/230.78</f>
        <v>-1.4819308432273106E-2</v>
      </c>
      <c r="E342" t="s">
        <v>2409</v>
      </c>
      <c r="F342">
        <v>78</v>
      </c>
      <c r="G342">
        <v>4</v>
      </c>
      <c r="H342">
        <v>0</v>
      </c>
      <c r="I342">
        <v>0</v>
      </c>
      <c r="J342" t="s">
        <v>53</v>
      </c>
      <c r="K342" s="1">
        <v>43316</v>
      </c>
      <c r="L342" t="s">
        <v>35</v>
      </c>
      <c r="M342" t="s">
        <v>106</v>
      </c>
      <c r="N342" s="1">
        <v>44197</v>
      </c>
      <c r="O342">
        <v>3142</v>
      </c>
      <c r="P342" t="s">
        <v>2403</v>
      </c>
      <c r="Q342" t="s">
        <v>32</v>
      </c>
      <c r="R342" s="9">
        <v>116.51</v>
      </c>
      <c r="S342" s="9">
        <v>47.07</v>
      </c>
      <c r="T342" s="9">
        <v>45.27</v>
      </c>
      <c r="U342" t="s">
        <v>32</v>
      </c>
      <c r="V342" t="s">
        <v>32</v>
      </c>
      <c r="X342" t="s">
        <v>32</v>
      </c>
      <c r="Y342">
        <v>2.2999999999999998</v>
      </c>
      <c r="Z342">
        <v>15.48</v>
      </c>
      <c r="AA342">
        <v>5.43</v>
      </c>
      <c r="AB342">
        <v>17.97</v>
      </c>
    </row>
    <row r="343" spans="1:28" hidden="1" x14ac:dyDescent="0.2">
      <c r="A343" t="s">
        <v>816</v>
      </c>
      <c r="B343" t="s">
        <v>817</v>
      </c>
      <c r="F343">
        <v>87</v>
      </c>
      <c r="H343">
        <v>1</v>
      </c>
      <c r="I343">
        <v>0</v>
      </c>
      <c r="K343" s="1">
        <v>43316</v>
      </c>
      <c r="L343" t="s">
        <v>71</v>
      </c>
      <c r="M343" t="s">
        <v>149</v>
      </c>
      <c r="N343" s="1">
        <v>44192</v>
      </c>
      <c r="Q343">
        <v>4.0999999999999996</v>
      </c>
      <c r="R343">
        <v>-24.64</v>
      </c>
      <c r="S343">
        <v>0.59</v>
      </c>
      <c r="T343">
        <v>-0.35</v>
      </c>
      <c r="U343">
        <v>5.64</v>
      </c>
      <c r="V343">
        <v>6.11</v>
      </c>
      <c r="Y343">
        <v>14.9</v>
      </c>
      <c r="Z343">
        <v>35.85</v>
      </c>
      <c r="AA343">
        <v>4.55</v>
      </c>
      <c r="AB343">
        <v>9.19</v>
      </c>
    </row>
    <row r="344" spans="1:28" hidden="1" x14ac:dyDescent="0.2">
      <c r="A344" t="s">
        <v>818</v>
      </c>
      <c r="B344" t="s">
        <v>819</v>
      </c>
      <c r="F344">
        <v>44</v>
      </c>
      <c r="H344">
        <v>1</v>
      </c>
      <c r="I344">
        <v>0</v>
      </c>
      <c r="K344" s="1">
        <v>43316</v>
      </c>
      <c r="L344" t="s">
        <v>226</v>
      </c>
      <c r="M344" t="s">
        <v>243</v>
      </c>
      <c r="N344" s="1">
        <v>44192</v>
      </c>
      <c r="Q344">
        <v>0.4</v>
      </c>
      <c r="R344">
        <v>28.95</v>
      </c>
      <c r="S344">
        <v>-17.940000000000001</v>
      </c>
      <c r="T344">
        <v>-10.1</v>
      </c>
      <c r="U344">
        <v>-3.18</v>
      </c>
      <c r="V344">
        <v>-7.0000000000000007E-2</v>
      </c>
      <c r="Y344">
        <v>0</v>
      </c>
      <c r="Z344">
        <v>-82.74</v>
      </c>
      <c r="AA344">
        <v>-11.7</v>
      </c>
      <c r="AB344">
        <v>-22.36</v>
      </c>
    </row>
    <row r="345" spans="1:28" hidden="1" x14ac:dyDescent="0.2">
      <c r="A345" t="s">
        <v>820</v>
      </c>
      <c r="B345" t="s">
        <v>821</v>
      </c>
      <c r="N345" s="1">
        <v>44192</v>
      </c>
      <c r="O345">
        <v>14391</v>
      </c>
      <c r="Q345">
        <v>1.3</v>
      </c>
      <c r="R345">
        <v>34.53</v>
      </c>
      <c r="S345">
        <v>22.3</v>
      </c>
      <c r="T345">
        <v>5.3</v>
      </c>
      <c r="U345">
        <v>2.71</v>
      </c>
      <c r="V345">
        <v>-0.52</v>
      </c>
      <c r="X345">
        <v>39914</v>
      </c>
      <c r="Y345">
        <v>0.3</v>
      </c>
      <c r="Z345">
        <v>6.28</v>
      </c>
      <c r="AA345">
        <v>5.09</v>
      </c>
      <c r="AB345">
        <v>17.87</v>
      </c>
    </row>
    <row r="346" spans="1:28" hidden="1" x14ac:dyDescent="0.2">
      <c r="A346" t="s">
        <v>822</v>
      </c>
      <c r="B346" t="s">
        <v>823</v>
      </c>
      <c r="F346">
        <v>79</v>
      </c>
      <c r="H346">
        <v>1</v>
      </c>
      <c r="I346">
        <v>0</v>
      </c>
      <c r="K346" s="1">
        <v>43316</v>
      </c>
      <c r="L346" t="s">
        <v>113</v>
      </c>
      <c r="M346" t="s">
        <v>124</v>
      </c>
      <c r="N346" s="1">
        <v>44192</v>
      </c>
      <c r="Q346">
        <v>1.91</v>
      </c>
      <c r="R346">
        <v>1.58</v>
      </c>
      <c r="S346">
        <v>12.77</v>
      </c>
      <c r="T346">
        <v>12.47</v>
      </c>
      <c r="U346">
        <v>12.15</v>
      </c>
      <c r="V346">
        <v>11.78</v>
      </c>
      <c r="Y346">
        <v>3.1</v>
      </c>
      <c r="Z346">
        <v>13.57</v>
      </c>
      <c r="AA346">
        <v>2.84</v>
      </c>
      <c r="AB346">
        <v>9.07</v>
      </c>
    </row>
    <row r="347" spans="1:28" hidden="1" x14ac:dyDescent="0.2">
      <c r="A347" t="s">
        <v>824</v>
      </c>
      <c r="B347" t="s">
        <v>825</v>
      </c>
      <c r="H347">
        <v>1</v>
      </c>
      <c r="I347">
        <v>0</v>
      </c>
      <c r="J347" t="s">
        <v>68</v>
      </c>
      <c r="K347" s="1">
        <v>43316</v>
      </c>
      <c r="L347" t="s">
        <v>95</v>
      </c>
      <c r="M347" t="s">
        <v>96</v>
      </c>
    </row>
    <row r="348" spans="1:28" hidden="1" x14ac:dyDescent="0.2">
      <c r="A348" s="4" t="s">
        <v>1543</v>
      </c>
      <c r="B348" t="s">
        <v>1544</v>
      </c>
      <c r="E348" t="s">
        <v>2409</v>
      </c>
      <c r="F348">
        <v>61</v>
      </c>
      <c r="H348">
        <v>0</v>
      </c>
      <c r="I348">
        <v>0</v>
      </c>
      <c r="J348" t="s">
        <v>53</v>
      </c>
      <c r="K348" s="1">
        <v>43316</v>
      </c>
      <c r="L348" t="s">
        <v>43</v>
      </c>
      <c r="M348" t="s">
        <v>920</v>
      </c>
      <c r="N348" s="1">
        <v>44193</v>
      </c>
      <c r="R348" s="6">
        <v>42.41</v>
      </c>
      <c r="S348" s="6">
        <v>31.63</v>
      </c>
      <c r="T348" s="6">
        <v>18.190000000000001</v>
      </c>
      <c r="U348" s="6">
        <v>21.27</v>
      </c>
      <c r="V348">
        <v>19.07</v>
      </c>
      <c r="Y348">
        <v>1.9</v>
      </c>
      <c r="Z348">
        <v>7.2</v>
      </c>
      <c r="AA348">
        <v>9.0399999999999991</v>
      </c>
      <c r="AB348">
        <v>29.2</v>
      </c>
    </row>
    <row r="349" spans="1:28" hidden="1" x14ac:dyDescent="0.2">
      <c r="A349" t="s">
        <v>828</v>
      </c>
      <c r="B349" t="s">
        <v>829</v>
      </c>
      <c r="F349">
        <v>64</v>
      </c>
      <c r="H349">
        <v>1</v>
      </c>
      <c r="I349">
        <v>0</v>
      </c>
      <c r="K349" s="1">
        <v>43316</v>
      </c>
      <c r="L349" t="s">
        <v>71</v>
      </c>
      <c r="M349" t="s">
        <v>149</v>
      </c>
      <c r="N349" s="1">
        <v>44192</v>
      </c>
      <c r="Q349">
        <v>3.33</v>
      </c>
      <c r="R349">
        <v>-18.77</v>
      </c>
      <c r="S349">
        <v>2.21</v>
      </c>
      <c r="T349">
        <v>2.42</v>
      </c>
      <c r="U349">
        <v>9.92</v>
      </c>
      <c r="V349">
        <v>8.39</v>
      </c>
      <c r="Y349">
        <v>27.7</v>
      </c>
      <c r="Z349">
        <v>39.89</v>
      </c>
      <c r="AA349">
        <v>4.5599999999999996</v>
      </c>
      <c r="AB349">
        <v>9.7799999999999994</v>
      </c>
    </row>
    <row r="350" spans="1:28" hidden="1" x14ac:dyDescent="0.2">
      <c r="A350" s="4" t="s">
        <v>2208</v>
      </c>
      <c r="B350" t="s">
        <v>2209</v>
      </c>
      <c r="C350">
        <v>1.9</v>
      </c>
      <c r="D350" s="8">
        <f>(264.14-259.24)/264.14</f>
        <v>1.8550768531839092E-2</v>
      </c>
      <c r="E350" t="s">
        <v>2409</v>
      </c>
      <c r="F350">
        <v>77</v>
      </c>
      <c r="G350">
        <v>4</v>
      </c>
      <c r="J350" t="s">
        <v>53</v>
      </c>
      <c r="N350" s="1">
        <v>44197</v>
      </c>
      <c r="O350">
        <v>664</v>
      </c>
      <c r="P350" t="s">
        <v>2403</v>
      </c>
      <c r="Q350" t="s">
        <v>2403</v>
      </c>
      <c r="R350" s="9">
        <v>86.24</v>
      </c>
      <c r="S350" s="9">
        <v>44.88</v>
      </c>
      <c r="T350" s="9">
        <v>41.56</v>
      </c>
      <c r="U350">
        <v>25.42</v>
      </c>
      <c r="V350">
        <v>18.600000000000001</v>
      </c>
      <c r="W350">
        <f>AVERAGE(R350:V350)</f>
        <v>43.34</v>
      </c>
      <c r="X350">
        <v>1279</v>
      </c>
      <c r="Y350">
        <v>3.3</v>
      </c>
      <c r="Z350">
        <v>18.03</v>
      </c>
      <c r="AA350">
        <v>9.1999999999999993</v>
      </c>
      <c r="AB350">
        <v>14.78</v>
      </c>
    </row>
    <row r="351" spans="1:28" hidden="1" x14ac:dyDescent="0.2">
      <c r="A351" t="s">
        <v>832</v>
      </c>
      <c r="B351" t="s">
        <v>833</v>
      </c>
      <c r="H351">
        <v>1</v>
      </c>
      <c r="I351">
        <v>0</v>
      </c>
      <c r="K351" s="1">
        <v>43316</v>
      </c>
      <c r="L351" t="s">
        <v>226</v>
      </c>
      <c r="M351" t="s">
        <v>834</v>
      </c>
    </row>
    <row r="352" spans="1:28" hidden="1" x14ac:dyDescent="0.2">
      <c r="A352" t="s">
        <v>835</v>
      </c>
      <c r="B352" t="s">
        <v>836</v>
      </c>
      <c r="L352" t="s">
        <v>226</v>
      </c>
      <c r="M352" t="s">
        <v>386</v>
      </c>
      <c r="N352" s="1">
        <v>44192</v>
      </c>
      <c r="Q352">
        <v>17.27</v>
      </c>
      <c r="R352">
        <v>-42.56</v>
      </c>
      <c r="S352">
        <v>-16.11</v>
      </c>
      <c r="T352">
        <v>-1.84</v>
      </c>
      <c r="U352">
        <v>5.21</v>
      </c>
      <c r="V352" t="s">
        <v>32</v>
      </c>
      <c r="Y352">
        <v>1.2</v>
      </c>
      <c r="Z352">
        <v>-0.56000000000000005</v>
      </c>
      <c r="AA352">
        <v>-0.25</v>
      </c>
      <c r="AB352">
        <v>-1.21</v>
      </c>
    </row>
    <row r="353" spans="1:28" hidden="1" x14ac:dyDescent="0.2">
      <c r="A353" s="4" t="s">
        <v>2274</v>
      </c>
      <c r="B353" t="s">
        <v>2275</v>
      </c>
      <c r="F353">
        <v>76</v>
      </c>
      <c r="G353">
        <v>4.3</v>
      </c>
      <c r="J353" t="s">
        <v>53</v>
      </c>
      <c r="K353" s="1">
        <v>44138</v>
      </c>
      <c r="N353" s="1">
        <v>44193</v>
      </c>
      <c r="Q353">
        <v>0.21</v>
      </c>
      <c r="R353" s="6">
        <v>44.61</v>
      </c>
      <c r="S353" s="6">
        <v>10.34</v>
      </c>
      <c r="T353" s="6">
        <v>28.99</v>
      </c>
      <c r="U353">
        <v>31.74</v>
      </c>
      <c r="V353" t="s">
        <v>32</v>
      </c>
      <c r="Y353">
        <v>1.4</v>
      </c>
      <c r="Z353">
        <v>24.41</v>
      </c>
      <c r="AA353">
        <v>10.52</v>
      </c>
      <c r="AB353">
        <v>22.56</v>
      </c>
    </row>
    <row r="354" spans="1:28" hidden="1" x14ac:dyDescent="0.2">
      <c r="A354" t="s">
        <v>1765</v>
      </c>
      <c r="B354" t="s">
        <v>1766</v>
      </c>
      <c r="F354">
        <v>66</v>
      </c>
      <c r="H354">
        <v>1</v>
      </c>
      <c r="I354" t="s">
        <v>68</v>
      </c>
      <c r="J354" t="s">
        <v>1029</v>
      </c>
      <c r="K354" s="1">
        <v>43316</v>
      </c>
    </row>
    <row r="355" spans="1:28" hidden="1" x14ac:dyDescent="0.2">
      <c r="A355" t="s">
        <v>841</v>
      </c>
      <c r="B355" t="s">
        <v>842</v>
      </c>
      <c r="F355">
        <v>58</v>
      </c>
      <c r="H355">
        <v>1</v>
      </c>
      <c r="I355">
        <v>0</v>
      </c>
      <c r="K355" s="1">
        <v>43316</v>
      </c>
      <c r="L355" t="s">
        <v>113</v>
      </c>
      <c r="M355" t="s">
        <v>126</v>
      </c>
      <c r="N355" s="1">
        <v>44192</v>
      </c>
      <c r="Q355">
        <v>3.44</v>
      </c>
      <c r="R355">
        <v>-17.04</v>
      </c>
      <c r="S355">
        <v>9.81</v>
      </c>
      <c r="T355">
        <v>10.52</v>
      </c>
      <c r="U355">
        <v>6.14</v>
      </c>
      <c r="V355">
        <v>5</v>
      </c>
      <c r="Y355">
        <v>3.8</v>
      </c>
      <c r="Z355">
        <v>13.57</v>
      </c>
      <c r="AA355">
        <v>2.6</v>
      </c>
      <c r="AB355">
        <v>13.32</v>
      </c>
    </row>
    <row r="356" spans="1:28" hidden="1" x14ac:dyDescent="0.2">
      <c r="A356" s="2" t="s">
        <v>2053</v>
      </c>
      <c r="B356" t="s">
        <v>2054</v>
      </c>
      <c r="F356">
        <v>89</v>
      </c>
      <c r="G356">
        <v>4.5</v>
      </c>
      <c r="N356" s="1">
        <v>44197</v>
      </c>
      <c r="O356">
        <v>164</v>
      </c>
      <c r="P356" t="s">
        <v>2403</v>
      </c>
      <c r="Q356" t="s">
        <v>32</v>
      </c>
      <c r="R356" s="6">
        <v>70.819999999999993</v>
      </c>
      <c r="S356">
        <v>77.900000000000006</v>
      </c>
      <c r="T356">
        <v>64.430000000000007</v>
      </c>
      <c r="U356" t="s">
        <v>32</v>
      </c>
      <c r="V356" t="s">
        <v>32</v>
      </c>
      <c r="X356">
        <v>83</v>
      </c>
      <c r="Y356">
        <v>4.5999999999999996</v>
      </c>
      <c r="Z356">
        <v>20.2</v>
      </c>
      <c r="AA356">
        <v>8.07</v>
      </c>
      <c r="AB356">
        <v>29.7</v>
      </c>
    </row>
    <row r="357" spans="1:28" hidden="1" x14ac:dyDescent="0.2">
      <c r="A357" s="4" t="s">
        <v>1027</v>
      </c>
      <c r="B357" t="s">
        <v>1028</v>
      </c>
      <c r="F357">
        <v>70</v>
      </c>
      <c r="G357">
        <v>3.8</v>
      </c>
      <c r="J357" t="s">
        <v>1029</v>
      </c>
      <c r="L357" t="s">
        <v>95</v>
      </c>
      <c r="M357" t="s">
        <v>232</v>
      </c>
      <c r="N357" s="1">
        <v>44197</v>
      </c>
      <c r="O357">
        <v>88</v>
      </c>
      <c r="P357" t="s">
        <v>2403</v>
      </c>
      <c r="Q357" t="s">
        <v>32</v>
      </c>
      <c r="R357" s="6">
        <v>69.260000000000005</v>
      </c>
      <c r="S357">
        <v>51.08</v>
      </c>
      <c r="T357">
        <v>47.67</v>
      </c>
      <c r="U357">
        <v>30.96</v>
      </c>
      <c r="V357" s="6">
        <v>14.73</v>
      </c>
      <c r="W357" s="6"/>
      <c r="X357">
        <v>357</v>
      </c>
      <c r="Y357">
        <v>2.9</v>
      </c>
      <c r="Z357">
        <v>1.77</v>
      </c>
      <c r="AA357">
        <v>1.61</v>
      </c>
      <c r="AB357">
        <v>12.16</v>
      </c>
    </row>
    <row r="358" spans="1:28" hidden="1" x14ac:dyDescent="0.2">
      <c r="A358" t="s">
        <v>847</v>
      </c>
      <c r="B358" t="s">
        <v>848</v>
      </c>
      <c r="N358" s="1">
        <v>44194</v>
      </c>
      <c r="R358">
        <v>85.65</v>
      </c>
      <c r="S358">
        <v>8.68</v>
      </c>
      <c r="T358">
        <v>5.54</v>
      </c>
      <c r="U358" t="s">
        <v>32</v>
      </c>
      <c r="V358" t="s">
        <v>32</v>
      </c>
      <c r="Y358">
        <v>0</v>
      </c>
      <c r="Z358">
        <v>-52.45</v>
      </c>
      <c r="AA358">
        <v>-33.340000000000003</v>
      </c>
      <c r="AB358">
        <v>-59.57</v>
      </c>
    </row>
    <row r="359" spans="1:28" hidden="1" x14ac:dyDescent="0.2">
      <c r="A359" s="4" t="s">
        <v>1129</v>
      </c>
      <c r="B359" t="s">
        <v>1130</v>
      </c>
      <c r="F359">
        <v>77</v>
      </c>
      <c r="G359">
        <v>4</v>
      </c>
      <c r="H359">
        <v>0</v>
      </c>
      <c r="I359">
        <v>0</v>
      </c>
      <c r="J359" t="s">
        <v>53</v>
      </c>
      <c r="K359" s="1">
        <v>44138</v>
      </c>
      <c r="L359" t="s">
        <v>43</v>
      </c>
      <c r="M359" t="s">
        <v>596</v>
      </c>
      <c r="N359" s="1">
        <v>44197</v>
      </c>
      <c r="O359">
        <v>2806</v>
      </c>
      <c r="P359" t="s">
        <v>2403</v>
      </c>
      <c r="Q359" t="s">
        <v>32</v>
      </c>
      <c r="R359" s="6">
        <v>67.11</v>
      </c>
      <c r="S359">
        <v>41.23</v>
      </c>
      <c r="T359">
        <v>36.44</v>
      </c>
      <c r="U359">
        <v>35.93</v>
      </c>
      <c r="V359">
        <v>39.01</v>
      </c>
      <c r="X359">
        <v>1752</v>
      </c>
      <c r="Y359">
        <v>2.2999999999999998</v>
      </c>
      <c r="Z359">
        <v>11.78</v>
      </c>
      <c r="AA359">
        <v>8.07</v>
      </c>
      <c r="AB359">
        <v>32.64</v>
      </c>
    </row>
    <row r="360" spans="1:28" hidden="1" x14ac:dyDescent="0.2">
      <c r="A360" s="4" t="s">
        <v>1454</v>
      </c>
      <c r="B360" t="s">
        <v>1455</v>
      </c>
      <c r="C360">
        <v>1.8</v>
      </c>
      <c r="D360" s="8">
        <f>(557.39-500.12)/557.39</f>
        <v>0.10274673029656073</v>
      </c>
      <c r="E360" t="s">
        <v>2409</v>
      </c>
      <c r="F360">
        <v>87</v>
      </c>
      <c r="G360">
        <v>4.3</v>
      </c>
      <c r="H360">
        <v>0</v>
      </c>
      <c r="I360">
        <v>0</v>
      </c>
      <c r="J360" t="s">
        <v>53</v>
      </c>
      <c r="K360" s="1">
        <v>44138</v>
      </c>
      <c r="L360" t="s">
        <v>95</v>
      </c>
      <c r="M360" t="s">
        <v>558</v>
      </c>
      <c r="N360" s="1">
        <v>44197</v>
      </c>
      <c r="O360">
        <v>3861</v>
      </c>
      <c r="P360" t="s">
        <v>2403</v>
      </c>
      <c r="Q360" t="s">
        <v>32</v>
      </c>
      <c r="R360" s="9">
        <v>51.64</v>
      </c>
      <c r="S360" s="9">
        <v>41.84</v>
      </c>
      <c r="T360" s="9">
        <v>39.72</v>
      </c>
      <c r="U360">
        <v>32.15</v>
      </c>
      <c r="V360">
        <v>18.97</v>
      </c>
      <c r="W360">
        <f>AVERAGE(R360:V360)</f>
        <v>36.863999999999997</v>
      </c>
      <c r="X360">
        <v>2130</v>
      </c>
      <c r="Y360">
        <v>2.5</v>
      </c>
      <c r="Z360">
        <v>31.05</v>
      </c>
      <c r="AA360">
        <v>18.18</v>
      </c>
      <c r="AB360">
        <v>35.17</v>
      </c>
    </row>
    <row r="361" spans="1:28" hidden="1" x14ac:dyDescent="0.2">
      <c r="A361" s="2" t="s">
        <v>764</v>
      </c>
      <c r="B361" t="s">
        <v>765</v>
      </c>
      <c r="F361">
        <v>78</v>
      </c>
      <c r="G361">
        <v>3.9</v>
      </c>
      <c r="J361" t="s">
        <v>68</v>
      </c>
      <c r="L361" t="s">
        <v>26</v>
      </c>
      <c r="M361" t="s">
        <v>27</v>
      </c>
      <c r="N361" s="1">
        <v>44194</v>
      </c>
      <c r="O361">
        <v>231</v>
      </c>
      <c r="R361" s="6">
        <v>66.11</v>
      </c>
      <c r="S361">
        <v>84.88</v>
      </c>
      <c r="T361">
        <v>34.700000000000003</v>
      </c>
      <c r="U361">
        <v>38.71</v>
      </c>
      <c r="V361">
        <v>23.33</v>
      </c>
      <c r="X361">
        <v>320</v>
      </c>
      <c r="Y361">
        <v>2.6</v>
      </c>
      <c r="Z361">
        <v>12.69</v>
      </c>
      <c r="AA361">
        <v>7.68</v>
      </c>
      <c r="AB361">
        <v>20.420000000000002</v>
      </c>
    </row>
    <row r="362" spans="1:28" hidden="1" x14ac:dyDescent="0.2">
      <c r="A362" t="s">
        <v>855</v>
      </c>
      <c r="B362" t="s">
        <v>856</v>
      </c>
      <c r="F362">
        <v>60</v>
      </c>
      <c r="H362">
        <v>1</v>
      </c>
      <c r="I362">
        <v>0</v>
      </c>
      <c r="K362" s="1">
        <v>43316</v>
      </c>
      <c r="L362" t="s">
        <v>113</v>
      </c>
      <c r="M362" t="s">
        <v>126</v>
      </c>
      <c r="N362" s="1">
        <v>44192</v>
      </c>
      <c r="Q362">
        <v>3.73</v>
      </c>
      <c r="R362">
        <v>-4.32</v>
      </c>
      <c r="S362">
        <v>5.79</v>
      </c>
      <c r="T362">
        <v>11.94</v>
      </c>
      <c r="U362">
        <v>3.11</v>
      </c>
      <c r="V362">
        <v>1.3</v>
      </c>
      <c r="Y362">
        <v>64.2</v>
      </c>
      <c r="Z362">
        <v>7.14</v>
      </c>
      <c r="AA362">
        <v>1.9</v>
      </c>
      <c r="AB362">
        <v>7.32</v>
      </c>
    </row>
    <row r="363" spans="1:28" hidden="1" x14ac:dyDescent="0.2">
      <c r="A363" t="s">
        <v>857</v>
      </c>
      <c r="B363" t="s">
        <v>858</v>
      </c>
      <c r="N363" s="1">
        <v>44194</v>
      </c>
      <c r="O363">
        <v>152</v>
      </c>
      <c r="R363">
        <v>12.58</v>
      </c>
      <c r="S363">
        <v>-12.94</v>
      </c>
      <c r="T363">
        <v>30.15</v>
      </c>
      <c r="U363">
        <v>8.7200000000000006</v>
      </c>
      <c r="V363">
        <v>5.1100000000000003</v>
      </c>
      <c r="X363">
        <v>488</v>
      </c>
      <c r="Y363">
        <v>0.6</v>
      </c>
      <c r="Z363">
        <v>15.88</v>
      </c>
      <c r="AA363">
        <v>7.81</v>
      </c>
      <c r="AB363">
        <v>8.8000000000000007</v>
      </c>
    </row>
    <row r="364" spans="1:28" hidden="1" x14ac:dyDescent="0.2">
      <c r="A364" t="s">
        <v>859</v>
      </c>
      <c r="B364" t="s">
        <v>860</v>
      </c>
      <c r="L364" t="s">
        <v>30</v>
      </c>
      <c r="M364" t="s">
        <v>361</v>
      </c>
      <c r="N364" s="1">
        <v>44192</v>
      </c>
      <c r="Q364">
        <v>0.22</v>
      </c>
      <c r="R364">
        <v>10.82</v>
      </c>
      <c r="S364">
        <v>-2.77</v>
      </c>
      <c r="T364">
        <v>10.71</v>
      </c>
      <c r="U364">
        <v>13.96</v>
      </c>
      <c r="V364">
        <v>6.62</v>
      </c>
      <c r="Y364">
        <v>0</v>
      </c>
      <c r="Z364">
        <v>9.56</v>
      </c>
      <c r="AA364">
        <v>5.77</v>
      </c>
      <c r="AB364">
        <v>13.77</v>
      </c>
    </row>
    <row r="365" spans="1:28" hidden="1" x14ac:dyDescent="0.2">
      <c r="A365" t="s">
        <v>861</v>
      </c>
      <c r="B365" t="s">
        <v>862</v>
      </c>
      <c r="F365">
        <v>50</v>
      </c>
      <c r="H365">
        <v>1</v>
      </c>
      <c r="I365">
        <v>0</v>
      </c>
      <c r="K365" s="1">
        <v>43316</v>
      </c>
      <c r="L365" t="s">
        <v>39</v>
      </c>
      <c r="M365" t="s">
        <v>545</v>
      </c>
      <c r="N365" s="1">
        <v>44192</v>
      </c>
      <c r="Q365">
        <v>1.1599999999999999</v>
      </c>
      <c r="R365">
        <v>23.78</v>
      </c>
      <c r="S365">
        <v>14.64</v>
      </c>
      <c r="T365">
        <v>16.66</v>
      </c>
      <c r="U365">
        <v>6.38</v>
      </c>
      <c r="V365">
        <v>7.57</v>
      </c>
      <c r="Y365">
        <v>3</v>
      </c>
      <c r="Z365">
        <v>7.06</v>
      </c>
      <c r="AA365">
        <v>15.74</v>
      </c>
      <c r="AB365">
        <v>26.96</v>
      </c>
    </row>
    <row r="366" spans="1:28" hidden="1" x14ac:dyDescent="0.2">
      <c r="A366" t="s">
        <v>863</v>
      </c>
      <c r="B366" t="s">
        <v>864</v>
      </c>
      <c r="F366">
        <v>73</v>
      </c>
      <c r="H366">
        <v>0</v>
      </c>
      <c r="I366">
        <v>0</v>
      </c>
      <c r="J366" t="s">
        <v>53</v>
      </c>
      <c r="K366" s="1">
        <v>43316</v>
      </c>
      <c r="L366" t="s">
        <v>43</v>
      </c>
      <c r="M366" t="s">
        <v>507</v>
      </c>
      <c r="N366" s="1">
        <v>44192</v>
      </c>
      <c r="Q366">
        <v>0.55000000000000004</v>
      </c>
      <c r="R366">
        <v>17.04</v>
      </c>
      <c r="S366">
        <v>2.62</v>
      </c>
      <c r="T366">
        <v>0.86</v>
      </c>
      <c r="U366">
        <v>12.09</v>
      </c>
      <c r="V366">
        <v>8.61</v>
      </c>
      <c r="Y366">
        <v>34.6</v>
      </c>
      <c r="Z366">
        <v>-31.3</v>
      </c>
      <c r="AA366">
        <v>-10.71</v>
      </c>
      <c r="AB366">
        <v>-75.62</v>
      </c>
    </row>
    <row r="367" spans="1:28" hidden="1" x14ac:dyDescent="0.2">
      <c r="A367" t="s">
        <v>865</v>
      </c>
      <c r="B367" t="s">
        <v>866</v>
      </c>
      <c r="F367">
        <v>61</v>
      </c>
      <c r="G367">
        <v>3.7</v>
      </c>
      <c r="H367">
        <v>1</v>
      </c>
      <c r="I367">
        <v>0</v>
      </c>
      <c r="J367" t="s">
        <v>53</v>
      </c>
      <c r="K367" s="1">
        <v>43716</v>
      </c>
      <c r="L367" t="s">
        <v>39</v>
      </c>
      <c r="M367" t="s">
        <v>329</v>
      </c>
      <c r="N367" s="1">
        <v>44192</v>
      </c>
      <c r="R367">
        <v>8.57</v>
      </c>
      <c r="S367">
        <v>21.98</v>
      </c>
      <c r="T367">
        <v>19.71</v>
      </c>
      <c r="U367">
        <v>14.17</v>
      </c>
      <c r="V367" t="s">
        <v>32</v>
      </c>
      <c r="Y367">
        <v>2</v>
      </c>
      <c r="Z367">
        <v>12.69</v>
      </c>
      <c r="AA367">
        <v>7.39</v>
      </c>
      <c r="AB367">
        <v>27.14</v>
      </c>
    </row>
    <row r="368" spans="1:28" hidden="1" x14ac:dyDescent="0.2">
      <c r="A368" t="s">
        <v>89</v>
      </c>
      <c r="B368" t="s">
        <v>90</v>
      </c>
      <c r="F368">
        <v>36</v>
      </c>
      <c r="H368">
        <v>0</v>
      </c>
      <c r="I368">
        <v>0</v>
      </c>
      <c r="K368" s="1">
        <v>43316</v>
      </c>
      <c r="L368" t="s">
        <v>43</v>
      </c>
      <c r="M368" t="s">
        <v>88</v>
      </c>
      <c r="N368" s="1">
        <v>44197</v>
      </c>
      <c r="O368">
        <v>-494</v>
      </c>
      <c r="P368" t="s">
        <v>2403</v>
      </c>
      <c r="Q368" t="s">
        <v>32</v>
      </c>
      <c r="R368">
        <v>-81.31</v>
      </c>
      <c r="S368">
        <v>-55.24</v>
      </c>
      <c r="T368">
        <v>-44.5</v>
      </c>
      <c r="U368">
        <v>-26.13</v>
      </c>
      <c r="V368" t="s">
        <v>32</v>
      </c>
      <c r="X368" t="s">
        <v>32</v>
      </c>
      <c r="Y368">
        <v>0</v>
      </c>
      <c r="Z368">
        <v>-35.659999999999997</v>
      </c>
      <c r="AA368">
        <v>-26.34</v>
      </c>
      <c r="AB368">
        <v>-161.94</v>
      </c>
    </row>
    <row r="369" spans="1:28" hidden="1" x14ac:dyDescent="0.2">
      <c r="A369" t="s">
        <v>870</v>
      </c>
      <c r="B369" t="s">
        <v>871</v>
      </c>
      <c r="F369">
        <v>76</v>
      </c>
      <c r="H369">
        <v>1</v>
      </c>
      <c r="I369">
        <v>0</v>
      </c>
      <c r="J369" t="s">
        <v>53</v>
      </c>
      <c r="K369" s="1">
        <v>43316</v>
      </c>
      <c r="L369" t="s">
        <v>71</v>
      </c>
      <c r="M369" t="s">
        <v>872</v>
      </c>
      <c r="N369" s="1">
        <v>44192</v>
      </c>
      <c r="Q369">
        <v>3.19</v>
      </c>
      <c r="R369">
        <v>13.02</v>
      </c>
      <c r="S369">
        <v>13.2</v>
      </c>
      <c r="T369">
        <v>8.2200000000000006</v>
      </c>
      <c r="U369">
        <v>23.02</v>
      </c>
      <c r="V369">
        <v>16.059999999999999</v>
      </c>
      <c r="Y369">
        <v>0</v>
      </c>
      <c r="Z369">
        <v>32.67</v>
      </c>
      <c r="AA369">
        <v>5.12</v>
      </c>
      <c r="AB369">
        <v>17.809999999999999</v>
      </c>
    </row>
    <row r="370" spans="1:28" hidden="1" x14ac:dyDescent="0.2">
      <c r="A370" t="s">
        <v>873</v>
      </c>
      <c r="B370" t="s">
        <v>874</v>
      </c>
      <c r="N370" s="1">
        <v>44194</v>
      </c>
      <c r="R370">
        <v>40.57</v>
      </c>
      <c r="S370">
        <v>4.76</v>
      </c>
      <c r="T370" t="s">
        <v>32</v>
      </c>
      <c r="U370" t="s">
        <v>32</v>
      </c>
      <c r="V370" t="s">
        <v>32</v>
      </c>
      <c r="Y370">
        <v>0</v>
      </c>
      <c r="Z370">
        <v>0.32</v>
      </c>
      <c r="AA370">
        <v>0.23</v>
      </c>
      <c r="AB370">
        <v>0.63</v>
      </c>
    </row>
    <row r="371" spans="1:28" hidden="1" x14ac:dyDescent="0.2">
      <c r="A371" t="s">
        <v>875</v>
      </c>
      <c r="B371" t="s">
        <v>876</v>
      </c>
      <c r="F371">
        <v>54</v>
      </c>
      <c r="H371">
        <v>1</v>
      </c>
      <c r="I371">
        <v>0</v>
      </c>
      <c r="K371" s="1">
        <v>43316</v>
      </c>
      <c r="L371" t="s">
        <v>43</v>
      </c>
      <c r="M371" t="s">
        <v>161</v>
      </c>
      <c r="N371" s="1">
        <v>44192</v>
      </c>
      <c r="Q371">
        <v>3.3</v>
      </c>
      <c r="R371">
        <v>-4.8600000000000003</v>
      </c>
      <c r="S371">
        <v>-6.33</v>
      </c>
      <c r="T371">
        <v>-3.72</v>
      </c>
      <c r="U371">
        <v>-2.12</v>
      </c>
      <c r="V371">
        <v>3.78</v>
      </c>
      <c r="Y371">
        <v>0.4</v>
      </c>
      <c r="Z371">
        <v>-0.12</v>
      </c>
      <c r="AA371">
        <v>-0.06</v>
      </c>
      <c r="AB371">
        <v>-0.48</v>
      </c>
    </row>
    <row r="372" spans="1:28" hidden="1" x14ac:dyDescent="0.2">
      <c r="A372" t="s">
        <v>877</v>
      </c>
      <c r="B372" t="s">
        <v>878</v>
      </c>
      <c r="L372" t="s">
        <v>35</v>
      </c>
      <c r="M372" t="s">
        <v>152</v>
      </c>
      <c r="N372" s="1">
        <v>44194</v>
      </c>
      <c r="R372">
        <v>-7.44</v>
      </c>
      <c r="S372">
        <v>0.31</v>
      </c>
      <c r="T372">
        <v>10.42</v>
      </c>
      <c r="U372">
        <v>15.34</v>
      </c>
      <c r="V372" t="s">
        <v>32</v>
      </c>
      <c r="Y372">
        <v>0</v>
      </c>
      <c r="Z372">
        <v>9.61</v>
      </c>
      <c r="AA372">
        <v>5.24</v>
      </c>
      <c r="AB372">
        <v>14.28</v>
      </c>
    </row>
    <row r="373" spans="1:28" hidden="1" x14ac:dyDescent="0.2">
      <c r="A373" s="2" t="s">
        <v>1309</v>
      </c>
      <c r="B373" t="s">
        <v>1310</v>
      </c>
      <c r="E373" t="s">
        <v>2411</v>
      </c>
      <c r="F373">
        <v>79</v>
      </c>
      <c r="H373">
        <v>1</v>
      </c>
      <c r="I373">
        <v>0</v>
      </c>
      <c r="J373" t="s">
        <v>80</v>
      </c>
      <c r="K373" s="1">
        <v>43316</v>
      </c>
      <c r="L373" t="s">
        <v>95</v>
      </c>
      <c r="M373" t="s">
        <v>187</v>
      </c>
      <c r="N373" s="1">
        <v>44189</v>
      </c>
      <c r="O373">
        <v>3287</v>
      </c>
      <c r="P373">
        <v>24749</v>
      </c>
      <c r="Q373">
        <v>0.65</v>
      </c>
      <c r="R373" s="6">
        <v>64.77</v>
      </c>
      <c r="S373">
        <v>41</v>
      </c>
      <c r="T373">
        <v>40.11</v>
      </c>
      <c r="U373">
        <v>26.04</v>
      </c>
      <c r="V373">
        <v>20.84</v>
      </c>
      <c r="X373">
        <v>2161</v>
      </c>
      <c r="Y373">
        <v>2.2000000000000002</v>
      </c>
      <c r="Z373">
        <v>24.25</v>
      </c>
      <c r="AA373">
        <v>14.46</v>
      </c>
      <c r="AB373">
        <v>25.86</v>
      </c>
    </row>
    <row r="374" spans="1:28" hidden="1" x14ac:dyDescent="0.2">
      <c r="A374" t="s">
        <v>1003</v>
      </c>
      <c r="B374" t="s">
        <v>1004</v>
      </c>
      <c r="F374">
        <v>91</v>
      </c>
      <c r="H374">
        <v>0</v>
      </c>
      <c r="I374" t="s">
        <v>68</v>
      </c>
      <c r="J374" t="s">
        <v>53</v>
      </c>
      <c r="K374" s="1">
        <v>43316</v>
      </c>
      <c r="L374" t="s">
        <v>95</v>
      </c>
      <c r="M374" t="s">
        <v>232</v>
      </c>
      <c r="N374" s="1">
        <v>44197</v>
      </c>
      <c r="O374">
        <v>25276</v>
      </c>
      <c r="P374" t="s">
        <v>2403</v>
      </c>
      <c r="Q374" t="s">
        <v>32</v>
      </c>
      <c r="R374">
        <v>33.090000000000003</v>
      </c>
      <c r="S374">
        <v>15.68</v>
      </c>
      <c r="T374">
        <v>21.15</v>
      </c>
      <c r="U374" t="s">
        <v>32</v>
      </c>
      <c r="V374" t="s">
        <v>32</v>
      </c>
      <c r="X374">
        <v>17118</v>
      </c>
      <c r="Y374">
        <v>0.9</v>
      </c>
      <c r="Z374">
        <v>32.01</v>
      </c>
      <c r="AA374">
        <v>18.66</v>
      </c>
      <c r="AB374">
        <v>23.88</v>
      </c>
    </row>
    <row r="375" spans="1:28" hidden="1" x14ac:dyDescent="0.2">
      <c r="A375" t="s">
        <v>814</v>
      </c>
      <c r="B375" t="s">
        <v>815</v>
      </c>
      <c r="F375">
        <v>84</v>
      </c>
      <c r="H375">
        <v>1</v>
      </c>
      <c r="I375">
        <v>0</v>
      </c>
      <c r="K375" s="1">
        <v>43316</v>
      </c>
      <c r="L375" t="s">
        <v>71</v>
      </c>
      <c r="M375" t="s">
        <v>502</v>
      </c>
      <c r="N375" s="1">
        <v>44192</v>
      </c>
      <c r="Q375">
        <v>1.52</v>
      </c>
      <c r="R375">
        <v>25.01</v>
      </c>
      <c r="S375">
        <v>18.09</v>
      </c>
      <c r="T375">
        <v>20.36</v>
      </c>
      <c r="U375">
        <v>25.37</v>
      </c>
      <c r="V375">
        <v>21.72</v>
      </c>
      <c r="Y375">
        <v>3</v>
      </c>
      <c r="Z375">
        <v>7.58</v>
      </c>
      <c r="AA375">
        <v>1.8</v>
      </c>
      <c r="AB375">
        <v>4.59</v>
      </c>
    </row>
    <row r="376" spans="1:28" hidden="1" x14ac:dyDescent="0.2">
      <c r="A376" t="s">
        <v>887</v>
      </c>
      <c r="B376" t="s">
        <v>888</v>
      </c>
      <c r="N376" s="1">
        <v>44194</v>
      </c>
      <c r="R376">
        <v>21.05</v>
      </c>
      <c r="S376">
        <v>3.24</v>
      </c>
      <c r="T376">
        <v>11.97</v>
      </c>
      <c r="U376" t="s">
        <v>32</v>
      </c>
      <c r="V376" t="s">
        <v>32</v>
      </c>
      <c r="Y376">
        <v>1.8</v>
      </c>
    </row>
    <row r="377" spans="1:28" hidden="1" x14ac:dyDescent="0.2">
      <c r="A377" t="s">
        <v>889</v>
      </c>
      <c r="B377" t="s">
        <v>890</v>
      </c>
      <c r="F377">
        <v>51</v>
      </c>
      <c r="H377">
        <v>1</v>
      </c>
      <c r="I377">
        <v>0</v>
      </c>
      <c r="K377" s="1">
        <v>43316</v>
      </c>
      <c r="L377" t="s">
        <v>30</v>
      </c>
      <c r="M377" t="s">
        <v>891</v>
      </c>
      <c r="N377" s="1">
        <v>44192</v>
      </c>
      <c r="Q377">
        <v>0.21</v>
      </c>
      <c r="R377">
        <v>91.22</v>
      </c>
      <c r="S377">
        <v>11.65</v>
      </c>
      <c r="T377">
        <v>27.18</v>
      </c>
      <c r="U377">
        <v>-5.96</v>
      </c>
      <c r="V377">
        <v>1.95</v>
      </c>
      <c r="Y377">
        <v>0</v>
      </c>
      <c r="Z377">
        <v>-0.76</v>
      </c>
      <c r="AA377">
        <v>-0.25</v>
      </c>
      <c r="AB377">
        <v>-1.1000000000000001</v>
      </c>
    </row>
    <row r="378" spans="1:28" hidden="1" x14ac:dyDescent="0.2">
      <c r="A378" s="2" t="s">
        <v>2137</v>
      </c>
      <c r="B378" t="s">
        <v>2138</v>
      </c>
      <c r="F378">
        <v>77</v>
      </c>
      <c r="G378">
        <v>4</v>
      </c>
      <c r="H378">
        <v>1</v>
      </c>
      <c r="I378">
        <v>0</v>
      </c>
      <c r="J378" t="s">
        <v>68</v>
      </c>
      <c r="K378" s="1">
        <v>43316</v>
      </c>
      <c r="L378" t="s">
        <v>95</v>
      </c>
      <c r="M378" t="s">
        <v>741</v>
      </c>
      <c r="N378" s="1">
        <v>44193</v>
      </c>
      <c r="O378">
        <v>474</v>
      </c>
      <c r="R378" s="6">
        <v>61.58</v>
      </c>
      <c r="S378" s="6">
        <v>22.43</v>
      </c>
      <c r="T378">
        <v>41.26</v>
      </c>
      <c r="U378">
        <v>32.14</v>
      </c>
      <c r="V378" s="6">
        <v>17.64</v>
      </c>
      <c r="W378" s="6"/>
      <c r="X378">
        <v>299</v>
      </c>
      <c r="Y378">
        <v>3.5</v>
      </c>
      <c r="Z378">
        <v>14.1</v>
      </c>
      <c r="AA378">
        <v>8.9</v>
      </c>
      <c r="AB378">
        <v>18.66</v>
      </c>
    </row>
    <row r="379" spans="1:28" hidden="1" x14ac:dyDescent="0.2">
      <c r="A379" t="s">
        <v>894</v>
      </c>
      <c r="B379" t="s">
        <v>895</v>
      </c>
      <c r="F379">
        <v>62</v>
      </c>
      <c r="H379">
        <v>0</v>
      </c>
      <c r="I379">
        <v>0</v>
      </c>
      <c r="K379" s="1">
        <v>43316</v>
      </c>
      <c r="L379" t="s">
        <v>39</v>
      </c>
      <c r="M379" t="s">
        <v>545</v>
      </c>
      <c r="N379" s="1">
        <v>44192</v>
      </c>
      <c r="Q379">
        <v>0.91</v>
      </c>
      <c r="R379">
        <v>80.010000000000005</v>
      </c>
      <c r="S379">
        <v>3.41</v>
      </c>
      <c r="T379">
        <v>13.33</v>
      </c>
      <c r="U379">
        <v>11.78</v>
      </c>
      <c r="V379">
        <v>6.92</v>
      </c>
      <c r="Y379">
        <v>1</v>
      </c>
      <c r="Z379">
        <v>3.28</v>
      </c>
      <c r="AA379">
        <v>3.24</v>
      </c>
      <c r="AB379">
        <v>12.34</v>
      </c>
    </row>
    <row r="380" spans="1:28" hidden="1" x14ac:dyDescent="0.2">
      <c r="A380" t="s">
        <v>896</v>
      </c>
      <c r="B380" t="s">
        <v>897</v>
      </c>
      <c r="F380">
        <v>52</v>
      </c>
      <c r="H380">
        <v>1</v>
      </c>
      <c r="I380">
        <v>0</v>
      </c>
      <c r="K380" s="1">
        <v>43316</v>
      </c>
      <c r="L380" t="s">
        <v>113</v>
      </c>
      <c r="M380" t="s">
        <v>126</v>
      </c>
      <c r="N380" s="1">
        <v>44192</v>
      </c>
      <c r="Q380">
        <v>5.87</v>
      </c>
      <c r="R380">
        <v>-35.56</v>
      </c>
      <c r="S380">
        <v>3.91</v>
      </c>
      <c r="T380">
        <v>2.61</v>
      </c>
      <c r="U380">
        <v>2.31</v>
      </c>
      <c r="V380">
        <v>0.93</v>
      </c>
      <c r="Y380">
        <v>3.1</v>
      </c>
      <c r="Z380">
        <v>6.67</v>
      </c>
      <c r="AA380">
        <v>1.73</v>
      </c>
      <c r="AB380">
        <v>10.08</v>
      </c>
    </row>
    <row r="381" spans="1:28" hidden="1" x14ac:dyDescent="0.2">
      <c r="A381" t="s">
        <v>1426</v>
      </c>
      <c r="B381" t="s">
        <v>1427</v>
      </c>
      <c r="F381">
        <v>49</v>
      </c>
      <c r="H381">
        <v>0</v>
      </c>
      <c r="I381">
        <v>0</v>
      </c>
      <c r="K381" s="1">
        <v>43316</v>
      </c>
      <c r="L381" t="s">
        <v>95</v>
      </c>
      <c r="M381" t="s">
        <v>558</v>
      </c>
      <c r="N381" s="1">
        <v>44197</v>
      </c>
      <c r="O381">
        <v>307</v>
      </c>
      <c r="P381" t="s">
        <v>2403</v>
      </c>
      <c r="Q381" t="s">
        <v>32</v>
      </c>
      <c r="R381">
        <v>25.99</v>
      </c>
      <c r="S381">
        <v>10.27</v>
      </c>
      <c r="T381">
        <v>12.66</v>
      </c>
      <c r="U381">
        <v>3.06</v>
      </c>
      <c r="V381">
        <v>12.88</v>
      </c>
      <c r="X381">
        <v>441</v>
      </c>
      <c r="Y381">
        <v>1</v>
      </c>
      <c r="Z381">
        <v>13.08</v>
      </c>
      <c r="AA381">
        <v>7.62</v>
      </c>
      <c r="AB381">
        <v>15.4</v>
      </c>
    </row>
    <row r="382" spans="1:28" hidden="1" x14ac:dyDescent="0.2">
      <c r="A382" t="s">
        <v>901</v>
      </c>
      <c r="B382" t="s">
        <v>902</v>
      </c>
      <c r="L382" t="s">
        <v>26</v>
      </c>
      <c r="M382" t="s">
        <v>275</v>
      </c>
      <c r="N382" s="1">
        <v>44194</v>
      </c>
      <c r="R382">
        <v>-13.32</v>
      </c>
      <c r="S382">
        <v>-7.24</v>
      </c>
      <c r="T382">
        <v>5.28</v>
      </c>
      <c r="U382" t="s">
        <v>32</v>
      </c>
      <c r="V382" t="s">
        <v>32</v>
      </c>
      <c r="Y382">
        <v>0</v>
      </c>
      <c r="Z382">
        <v>-191.78</v>
      </c>
      <c r="AA382">
        <v>-26.82</v>
      </c>
      <c r="AB382">
        <v>-43.74</v>
      </c>
    </row>
    <row r="383" spans="1:28" hidden="1" x14ac:dyDescent="0.2">
      <c r="A383" s="4" t="s">
        <v>1769</v>
      </c>
      <c r="B383" t="s">
        <v>1770</v>
      </c>
      <c r="C383">
        <v>1.8</v>
      </c>
      <c r="D383" s="8">
        <f>(165.94-177.91)/165.94</f>
        <v>-7.2134506448113769E-2</v>
      </c>
      <c r="E383" t="s">
        <v>2408</v>
      </c>
      <c r="F383">
        <v>68</v>
      </c>
      <c r="G383">
        <v>3.9</v>
      </c>
      <c r="J383" t="s">
        <v>53</v>
      </c>
      <c r="K383" s="1">
        <v>44138</v>
      </c>
      <c r="N383" s="1">
        <v>44194</v>
      </c>
      <c r="O383">
        <v>232</v>
      </c>
      <c r="R383">
        <v>296</v>
      </c>
      <c r="S383">
        <v>105.08</v>
      </c>
      <c r="T383">
        <v>83.68</v>
      </c>
      <c r="X383">
        <v>165</v>
      </c>
      <c r="Y383">
        <v>3.9</v>
      </c>
      <c r="Z383">
        <v>16.829999999999998</v>
      </c>
      <c r="AA383">
        <v>12.49</v>
      </c>
      <c r="AB383">
        <v>43.94</v>
      </c>
    </row>
    <row r="384" spans="1:28" x14ac:dyDescent="0.2">
      <c r="A384" s="10" t="s">
        <v>1472</v>
      </c>
      <c r="B384" t="s">
        <v>1473</v>
      </c>
      <c r="C384">
        <v>1.7</v>
      </c>
      <c r="D384" s="8">
        <f>(3819.3-3256.93)/3819.3</f>
        <v>0.14724425941926539</v>
      </c>
      <c r="E384" t="s">
        <v>2406</v>
      </c>
      <c r="F384">
        <v>71</v>
      </c>
      <c r="G384">
        <v>3.9</v>
      </c>
      <c r="H384" t="s">
        <v>53</v>
      </c>
      <c r="I384">
        <v>0</v>
      </c>
      <c r="J384" t="s">
        <v>53</v>
      </c>
      <c r="K384" s="1">
        <v>44140</v>
      </c>
      <c r="L384" t="s">
        <v>43</v>
      </c>
      <c r="M384" t="s">
        <v>47</v>
      </c>
      <c r="N384" s="1">
        <v>44197</v>
      </c>
      <c r="O384">
        <v>17377</v>
      </c>
      <c r="P384" t="s">
        <v>2403</v>
      </c>
      <c r="Q384" t="s">
        <v>32</v>
      </c>
      <c r="R384" s="9">
        <v>76.260000000000005</v>
      </c>
      <c r="S384" s="9">
        <v>40.69</v>
      </c>
      <c r="T384" s="9">
        <v>36.96</v>
      </c>
      <c r="U384">
        <v>33.58</v>
      </c>
      <c r="V384">
        <v>32.619999999999997</v>
      </c>
      <c r="W384">
        <f>AVERAGE(R384:T384)</f>
        <v>51.303333333333335</v>
      </c>
      <c r="X384">
        <v>40431</v>
      </c>
      <c r="Y384">
        <v>1.3</v>
      </c>
      <c r="Z384">
        <v>4.99</v>
      </c>
      <c r="AA384">
        <v>7.22</v>
      </c>
      <c r="AB384">
        <v>24.95</v>
      </c>
    </row>
    <row r="385" spans="1:28" hidden="1" x14ac:dyDescent="0.2">
      <c r="A385" t="s">
        <v>907</v>
      </c>
      <c r="B385" t="s">
        <v>908</v>
      </c>
      <c r="F385">
        <v>52</v>
      </c>
      <c r="H385">
        <v>0</v>
      </c>
      <c r="I385">
        <v>0</v>
      </c>
      <c r="K385" s="1">
        <v>43316</v>
      </c>
      <c r="L385" t="s">
        <v>39</v>
      </c>
      <c r="M385" t="s">
        <v>329</v>
      </c>
      <c r="N385" s="1">
        <v>44192</v>
      </c>
      <c r="Q385">
        <v>0.94</v>
      </c>
      <c r="R385">
        <v>3.13</v>
      </c>
      <c r="S385">
        <v>15.38</v>
      </c>
      <c r="T385">
        <v>19.2</v>
      </c>
      <c r="U385">
        <v>18.64</v>
      </c>
      <c r="V385">
        <v>10.130000000000001</v>
      </c>
      <c r="Y385">
        <v>1.3</v>
      </c>
      <c r="Z385">
        <v>-0.83</v>
      </c>
      <c r="AA385">
        <v>-0.12</v>
      </c>
      <c r="AB385">
        <v>-0.21</v>
      </c>
    </row>
    <row r="386" spans="1:28" hidden="1" x14ac:dyDescent="0.2">
      <c r="A386" t="s">
        <v>387</v>
      </c>
      <c r="B386" t="s">
        <v>388</v>
      </c>
      <c r="F386">
        <v>49</v>
      </c>
      <c r="H386">
        <v>1</v>
      </c>
      <c r="I386">
        <v>0</v>
      </c>
      <c r="K386" s="1">
        <v>43316</v>
      </c>
      <c r="L386" t="s">
        <v>39</v>
      </c>
      <c r="M386" t="s">
        <v>329</v>
      </c>
      <c r="N386" s="1">
        <v>44197</v>
      </c>
      <c r="O386">
        <v>905</v>
      </c>
      <c r="P386" t="s">
        <v>2403</v>
      </c>
      <c r="Q386" t="s">
        <v>32</v>
      </c>
      <c r="R386">
        <v>-1.53</v>
      </c>
      <c r="S386">
        <v>20.2</v>
      </c>
      <c r="T386">
        <v>20.010000000000002</v>
      </c>
      <c r="U386">
        <v>22.77</v>
      </c>
      <c r="V386">
        <v>16.989999999999998</v>
      </c>
      <c r="X386" t="s">
        <v>32</v>
      </c>
      <c r="Y386">
        <v>1.3</v>
      </c>
      <c r="Z386">
        <v>6.01</v>
      </c>
      <c r="AA386">
        <v>1.2</v>
      </c>
      <c r="AB386">
        <v>2.81</v>
      </c>
    </row>
    <row r="387" spans="1:28" hidden="1" x14ac:dyDescent="0.2">
      <c r="A387" t="s">
        <v>911</v>
      </c>
      <c r="B387" t="s">
        <v>912</v>
      </c>
      <c r="F387">
        <v>29</v>
      </c>
      <c r="H387">
        <v>0</v>
      </c>
      <c r="I387">
        <v>0</v>
      </c>
      <c r="K387" s="1">
        <v>43316</v>
      </c>
      <c r="L387" t="s">
        <v>95</v>
      </c>
      <c r="M387" t="s">
        <v>913</v>
      </c>
      <c r="N387" s="1">
        <v>44194</v>
      </c>
      <c r="R387">
        <v>4.63</v>
      </c>
      <c r="S387">
        <v>4.68</v>
      </c>
      <c r="T387">
        <v>-25.66</v>
      </c>
      <c r="U387" t="s">
        <v>32</v>
      </c>
      <c r="V387" t="s">
        <v>32</v>
      </c>
      <c r="Y387">
        <v>0</v>
      </c>
      <c r="Z387">
        <v>-19.7</v>
      </c>
      <c r="AA387">
        <v>-20.21</v>
      </c>
      <c r="AB387">
        <v>-52.99</v>
      </c>
    </row>
    <row r="388" spans="1:28" hidden="1" x14ac:dyDescent="0.2">
      <c r="A388" t="s">
        <v>914</v>
      </c>
      <c r="B388" t="s">
        <v>915</v>
      </c>
      <c r="F388">
        <v>43</v>
      </c>
      <c r="G388">
        <v>3.3</v>
      </c>
      <c r="H388">
        <v>1</v>
      </c>
      <c r="I388">
        <v>0</v>
      </c>
      <c r="K388" s="1">
        <v>43716</v>
      </c>
      <c r="L388" t="s">
        <v>35</v>
      </c>
      <c r="M388" t="s">
        <v>235</v>
      </c>
      <c r="N388" s="1">
        <v>44192</v>
      </c>
      <c r="Q388">
        <v>4.1399999999999997</v>
      </c>
      <c r="R388">
        <v>-7.53</v>
      </c>
      <c r="S388">
        <v>-0.86</v>
      </c>
      <c r="T388">
        <v>8.7100000000000009</v>
      </c>
      <c r="U388">
        <v>8.7100000000000009</v>
      </c>
      <c r="V388">
        <v>-0.22</v>
      </c>
      <c r="Y388">
        <v>0</v>
      </c>
      <c r="Z388">
        <v>19.440000000000001</v>
      </c>
      <c r="AA388">
        <v>0.78</v>
      </c>
      <c r="AB388">
        <v>7.15</v>
      </c>
    </row>
    <row r="389" spans="1:28" hidden="1" x14ac:dyDescent="0.2">
      <c r="A389" s="4" t="s">
        <v>265</v>
      </c>
      <c r="B389" t="s">
        <v>266</v>
      </c>
      <c r="F389">
        <v>63</v>
      </c>
      <c r="H389">
        <v>0</v>
      </c>
      <c r="I389">
        <v>0</v>
      </c>
      <c r="J389" t="s">
        <v>53</v>
      </c>
      <c r="K389" s="1">
        <v>43316</v>
      </c>
      <c r="L389" t="s">
        <v>99</v>
      </c>
      <c r="M389" t="s">
        <v>258</v>
      </c>
      <c r="N389" s="1">
        <v>44197</v>
      </c>
      <c r="O389">
        <v>1193</v>
      </c>
      <c r="P389" t="s">
        <v>2403</v>
      </c>
      <c r="Q389" t="s">
        <v>32</v>
      </c>
      <c r="R389" s="6">
        <v>45.52</v>
      </c>
      <c r="S389" s="6">
        <v>13.48</v>
      </c>
      <c r="T389" s="6">
        <v>13.25</v>
      </c>
      <c r="U389">
        <v>26.64</v>
      </c>
      <c r="V389">
        <v>24.92</v>
      </c>
      <c r="X389" t="s">
        <v>32</v>
      </c>
      <c r="Y389">
        <v>2.8</v>
      </c>
      <c r="Z389">
        <v>26.99</v>
      </c>
      <c r="AA389">
        <v>22.02</v>
      </c>
      <c r="AB389">
        <v>27.3</v>
      </c>
    </row>
    <row r="390" spans="1:28" hidden="1" x14ac:dyDescent="0.2">
      <c r="A390" t="s">
        <v>918</v>
      </c>
      <c r="B390" t="s">
        <v>919</v>
      </c>
      <c r="F390">
        <v>47</v>
      </c>
      <c r="H390">
        <v>0</v>
      </c>
      <c r="I390">
        <v>0</v>
      </c>
      <c r="K390" s="1">
        <v>43316</v>
      </c>
      <c r="L390" t="s">
        <v>43</v>
      </c>
      <c r="M390" t="s">
        <v>920</v>
      </c>
      <c r="N390" s="1">
        <v>44192</v>
      </c>
      <c r="Q390">
        <v>3.5</v>
      </c>
      <c r="R390">
        <v>0.52</v>
      </c>
      <c r="S390">
        <v>-2.91</v>
      </c>
      <c r="T390">
        <v>-6.87</v>
      </c>
      <c r="U390">
        <v>9.7100000000000009</v>
      </c>
      <c r="V390">
        <v>5.58</v>
      </c>
      <c r="Y390">
        <v>0</v>
      </c>
      <c r="Z390">
        <v>4.41</v>
      </c>
      <c r="AA390">
        <v>4.9000000000000004</v>
      </c>
      <c r="AB390">
        <v>13.17</v>
      </c>
    </row>
    <row r="391" spans="1:28" hidden="1" x14ac:dyDescent="0.2">
      <c r="A391" t="s">
        <v>921</v>
      </c>
      <c r="B391" t="s">
        <v>922</v>
      </c>
      <c r="L391" t="s">
        <v>95</v>
      </c>
      <c r="M391" t="s">
        <v>923</v>
      </c>
      <c r="N391" s="1">
        <v>44194</v>
      </c>
      <c r="R391">
        <v>41.96</v>
      </c>
      <c r="S391">
        <v>-0.15</v>
      </c>
      <c r="T391">
        <v>9.74</v>
      </c>
      <c r="U391">
        <v>8.6199999999999992</v>
      </c>
      <c r="V391">
        <v>3.55</v>
      </c>
      <c r="Y391">
        <v>0</v>
      </c>
      <c r="Z391">
        <v>1.41</v>
      </c>
      <c r="AA391">
        <v>2.2200000000000002</v>
      </c>
      <c r="AB391">
        <v>10.96</v>
      </c>
    </row>
    <row r="392" spans="1:28" hidden="1" x14ac:dyDescent="0.2">
      <c r="A392" t="s">
        <v>924</v>
      </c>
      <c r="B392" t="s">
        <v>925</v>
      </c>
      <c r="F392">
        <v>67</v>
      </c>
      <c r="G392">
        <v>3.7</v>
      </c>
      <c r="H392">
        <v>1</v>
      </c>
      <c r="I392">
        <v>0</v>
      </c>
      <c r="J392" t="s">
        <v>80</v>
      </c>
      <c r="K392" s="1">
        <v>43716</v>
      </c>
      <c r="L392" t="s">
        <v>95</v>
      </c>
      <c r="M392" t="s">
        <v>913</v>
      </c>
      <c r="N392" s="1">
        <v>44192</v>
      </c>
      <c r="O392">
        <v>139</v>
      </c>
      <c r="Q392">
        <v>1.78</v>
      </c>
      <c r="R392">
        <v>-13.74</v>
      </c>
      <c r="S392">
        <v>-0.57999999999999996</v>
      </c>
      <c r="T392">
        <v>10.68</v>
      </c>
      <c r="U392">
        <v>5.23</v>
      </c>
      <c r="V392">
        <v>10.26</v>
      </c>
      <c r="X392">
        <v>211</v>
      </c>
      <c r="Y392">
        <v>2.9</v>
      </c>
      <c r="Z392">
        <v>7.36</v>
      </c>
      <c r="AA392">
        <v>4.34</v>
      </c>
      <c r="AB392">
        <v>7.56</v>
      </c>
    </row>
    <row r="393" spans="1:28" hidden="1" x14ac:dyDescent="0.2">
      <c r="A393" t="s">
        <v>926</v>
      </c>
      <c r="B393" t="s">
        <v>927</v>
      </c>
      <c r="F393">
        <v>44</v>
      </c>
      <c r="H393">
        <v>1</v>
      </c>
      <c r="I393">
        <v>0</v>
      </c>
      <c r="K393" s="1">
        <v>43316</v>
      </c>
      <c r="L393" t="s">
        <v>39</v>
      </c>
      <c r="M393" t="s">
        <v>748</v>
      </c>
      <c r="N393" s="1">
        <v>44192</v>
      </c>
      <c r="Q393">
        <v>1.1599999999999999</v>
      </c>
      <c r="R393">
        <v>-10.23</v>
      </c>
      <c r="S393">
        <v>-29.17</v>
      </c>
      <c r="T393">
        <v>-16.45</v>
      </c>
      <c r="U393">
        <v>-9.89</v>
      </c>
      <c r="V393">
        <v>-2.78</v>
      </c>
      <c r="Y393">
        <v>0</v>
      </c>
      <c r="Z393">
        <v>-4.22</v>
      </c>
      <c r="AA393">
        <v>-7.49</v>
      </c>
      <c r="AB393">
        <v>-42.24</v>
      </c>
    </row>
    <row r="394" spans="1:28" hidden="1" x14ac:dyDescent="0.2">
      <c r="A394" t="s">
        <v>928</v>
      </c>
      <c r="B394" t="s">
        <v>929</v>
      </c>
      <c r="F394">
        <v>33</v>
      </c>
      <c r="H394">
        <v>1</v>
      </c>
      <c r="I394">
        <v>0</v>
      </c>
      <c r="K394" s="1">
        <v>43316</v>
      </c>
      <c r="L394" t="s">
        <v>39</v>
      </c>
      <c r="M394" t="s">
        <v>197</v>
      </c>
      <c r="N394" s="1">
        <v>44192</v>
      </c>
      <c r="Q394">
        <v>2.3199999999999998</v>
      </c>
      <c r="R394">
        <v>-24.66</v>
      </c>
      <c r="S394">
        <v>-1.8</v>
      </c>
      <c r="T394">
        <v>-1.1299999999999999</v>
      </c>
      <c r="U394">
        <v>0.97</v>
      </c>
      <c r="V394">
        <v>8.49</v>
      </c>
      <c r="Y394">
        <v>2.9</v>
      </c>
      <c r="Z394">
        <v>3.85</v>
      </c>
      <c r="AA394">
        <v>2.96</v>
      </c>
      <c r="AB394">
        <v>8.59</v>
      </c>
    </row>
    <row r="395" spans="1:28" hidden="1" x14ac:dyDescent="0.2">
      <c r="A395" t="s">
        <v>1785</v>
      </c>
      <c r="B395" t="s">
        <v>1786</v>
      </c>
      <c r="N395" s="1">
        <v>44197</v>
      </c>
      <c r="O395">
        <v>730</v>
      </c>
      <c r="P395" t="s">
        <v>2403</v>
      </c>
      <c r="Q395" t="s">
        <v>32</v>
      </c>
      <c r="R395">
        <v>-5.18</v>
      </c>
      <c r="S395">
        <v>12.34</v>
      </c>
      <c r="T395">
        <v>13.8</v>
      </c>
      <c r="U395">
        <v>24.33</v>
      </c>
      <c r="V395" t="s">
        <v>32</v>
      </c>
      <c r="X395" t="s">
        <v>32</v>
      </c>
      <c r="Y395">
        <v>1.2</v>
      </c>
      <c r="Z395">
        <v>29.54</v>
      </c>
      <c r="AA395">
        <v>6.34</v>
      </c>
      <c r="AB395">
        <v>21.35</v>
      </c>
    </row>
    <row r="396" spans="1:28" hidden="1" x14ac:dyDescent="0.2">
      <c r="A396" s="4" t="s">
        <v>158</v>
      </c>
      <c r="B396" t="s">
        <v>159</v>
      </c>
      <c r="C396">
        <v>2.8</v>
      </c>
      <c r="D396" s="8">
        <f>(-705.67+431.33)/431.33</f>
        <v>-0.63603273595622833</v>
      </c>
      <c r="E396" t="s">
        <v>2406</v>
      </c>
      <c r="F396">
        <v>56</v>
      </c>
      <c r="G396">
        <v>3.6</v>
      </c>
      <c r="H396">
        <v>1</v>
      </c>
      <c r="I396">
        <v>0</v>
      </c>
      <c r="J396" t="s">
        <v>160</v>
      </c>
      <c r="K396" s="1">
        <v>44138</v>
      </c>
      <c r="L396" t="s">
        <v>43</v>
      </c>
      <c r="M396" t="s">
        <v>161</v>
      </c>
      <c r="N396" s="1">
        <v>44197</v>
      </c>
      <c r="O396">
        <v>556</v>
      </c>
      <c r="P396" t="s">
        <v>2403</v>
      </c>
      <c r="Q396" t="s">
        <v>32</v>
      </c>
      <c r="R396">
        <v>743.44</v>
      </c>
      <c r="S396">
        <v>124.62</v>
      </c>
      <c r="T396">
        <v>71.19</v>
      </c>
      <c r="U396">
        <v>63.01</v>
      </c>
      <c r="V396" t="s">
        <v>32</v>
      </c>
      <c r="X396">
        <v>1314</v>
      </c>
      <c r="Y396">
        <v>1.4</v>
      </c>
      <c r="Z396">
        <v>1.97</v>
      </c>
      <c r="AA396">
        <v>1.42</v>
      </c>
      <c r="AB396">
        <v>5.04</v>
      </c>
    </row>
    <row r="397" spans="1:28" hidden="1" x14ac:dyDescent="0.2">
      <c r="A397" t="s">
        <v>1466</v>
      </c>
      <c r="B397" t="s">
        <v>1467</v>
      </c>
      <c r="F397">
        <v>62</v>
      </c>
      <c r="H397">
        <v>1</v>
      </c>
      <c r="I397">
        <v>0</v>
      </c>
      <c r="K397" s="1">
        <v>43316</v>
      </c>
      <c r="L397" t="s">
        <v>35</v>
      </c>
      <c r="M397" t="s">
        <v>938</v>
      </c>
      <c r="N397" s="1">
        <v>44197</v>
      </c>
      <c r="O397">
        <v>7005</v>
      </c>
      <c r="P397" t="s">
        <v>2403</v>
      </c>
      <c r="Q397" t="s">
        <v>32</v>
      </c>
      <c r="R397">
        <v>-22.43</v>
      </c>
      <c r="S397">
        <v>-2.58</v>
      </c>
      <c r="T397">
        <v>7.54</v>
      </c>
      <c r="U397">
        <v>22.56</v>
      </c>
      <c r="V397">
        <v>-14.27</v>
      </c>
      <c r="X397" t="s">
        <v>32</v>
      </c>
      <c r="Y397">
        <v>0</v>
      </c>
      <c r="Z397" t="s">
        <v>2403</v>
      </c>
      <c r="AA397" t="s">
        <v>2403</v>
      </c>
      <c r="AB397" t="s">
        <v>2403</v>
      </c>
    </row>
    <row r="398" spans="1:28" hidden="1" x14ac:dyDescent="0.2">
      <c r="A398" t="s">
        <v>934</v>
      </c>
      <c r="B398" t="s">
        <v>935</v>
      </c>
      <c r="F398">
        <v>41</v>
      </c>
      <c r="H398">
        <v>1</v>
      </c>
      <c r="I398">
        <v>0</v>
      </c>
      <c r="K398" s="1">
        <v>43316</v>
      </c>
      <c r="L398" t="s">
        <v>35</v>
      </c>
      <c r="M398" t="s">
        <v>152</v>
      </c>
      <c r="N398" s="1">
        <v>44192</v>
      </c>
      <c r="Q398">
        <v>3.67</v>
      </c>
      <c r="R398">
        <v>-11.02</v>
      </c>
      <c r="S398">
        <v>2.96</v>
      </c>
      <c r="T398">
        <v>10.84</v>
      </c>
      <c r="U398">
        <v>16.760000000000002</v>
      </c>
      <c r="V398">
        <v>7.4</v>
      </c>
      <c r="Y398">
        <v>0</v>
      </c>
      <c r="Z398">
        <v>10.31</v>
      </c>
      <c r="AA398">
        <v>3.2</v>
      </c>
      <c r="AB398">
        <v>15.73</v>
      </c>
    </row>
    <row r="399" spans="1:28" hidden="1" x14ac:dyDescent="0.2">
      <c r="A399" t="s">
        <v>936</v>
      </c>
      <c r="B399" t="s">
        <v>937</v>
      </c>
      <c r="F399">
        <v>58</v>
      </c>
      <c r="H399">
        <v>1</v>
      </c>
      <c r="I399">
        <v>0</v>
      </c>
      <c r="K399" s="1">
        <v>43316</v>
      </c>
      <c r="L399" t="s">
        <v>35</v>
      </c>
      <c r="M399" t="s">
        <v>938</v>
      </c>
      <c r="N399" s="1">
        <v>44194</v>
      </c>
      <c r="R399">
        <v>-26.3</v>
      </c>
      <c r="S399">
        <v>-5.15</v>
      </c>
      <c r="T399">
        <v>5.95</v>
      </c>
      <c r="U399">
        <v>22.01</v>
      </c>
      <c r="V399">
        <v>-12.86</v>
      </c>
      <c r="Y399">
        <v>0</v>
      </c>
    </row>
    <row r="400" spans="1:28" hidden="1" x14ac:dyDescent="0.2">
      <c r="A400" t="s">
        <v>939</v>
      </c>
      <c r="B400" t="s">
        <v>940</v>
      </c>
      <c r="L400" t="s">
        <v>43</v>
      </c>
      <c r="M400" t="s">
        <v>920</v>
      </c>
      <c r="N400" s="1">
        <v>44194</v>
      </c>
      <c r="R400">
        <v>18.350000000000001</v>
      </c>
      <c r="S400">
        <v>6.05</v>
      </c>
      <c r="T400">
        <v>-24.23</v>
      </c>
      <c r="U400">
        <v>-18.57</v>
      </c>
      <c r="V400">
        <v>-5.29</v>
      </c>
      <c r="Y400">
        <v>0</v>
      </c>
      <c r="Z400">
        <v>-5.51</v>
      </c>
      <c r="AA400">
        <v>-6.26</v>
      </c>
      <c r="AB400">
        <v>-21.25</v>
      </c>
    </row>
    <row r="401" spans="1:28" hidden="1" x14ac:dyDescent="0.2">
      <c r="A401" t="s">
        <v>941</v>
      </c>
      <c r="B401" t="s">
        <v>942</v>
      </c>
      <c r="F401">
        <v>51</v>
      </c>
      <c r="H401">
        <v>0</v>
      </c>
      <c r="I401">
        <v>0</v>
      </c>
      <c r="K401" s="1">
        <v>43316</v>
      </c>
      <c r="L401" t="s">
        <v>43</v>
      </c>
      <c r="M401" t="s">
        <v>192</v>
      </c>
      <c r="N401" s="1">
        <v>44192</v>
      </c>
      <c r="Q401">
        <v>1.6</v>
      </c>
      <c r="R401">
        <v>-22.87</v>
      </c>
      <c r="S401" t="s">
        <v>32</v>
      </c>
      <c r="T401" t="s">
        <v>32</v>
      </c>
      <c r="U401" t="s">
        <v>32</v>
      </c>
      <c r="V401" t="s">
        <v>32</v>
      </c>
      <c r="Y401">
        <v>0</v>
      </c>
      <c r="Z401">
        <v>13</v>
      </c>
      <c r="AA401">
        <v>7.46</v>
      </c>
      <c r="AB401">
        <v>15.21</v>
      </c>
    </row>
    <row r="402" spans="1:28" hidden="1" x14ac:dyDescent="0.2">
      <c r="A402" t="s">
        <v>304</v>
      </c>
      <c r="B402" t="s">
        <v>305</v>
      </c>
      <c r="F402">
        <v>90</v>
      </c>
      <c r="G402">
        <v>4.0999999999999996</v>
      </c>
      <c r="K402" s="1">
        <v>44138</v>
      </c>
      <c r="L402" t="s">
        <v>26</v>
      </c>
      <c r="M402" t="s">
        <v>275</v>
      </c>
      <c r="N402" s="1">
        <v>44197</v>
      </c>
      <c r="O402">
        <v>472</v>
      </c>
      <c r="P402" t="s">
        <v>2403</v>
      </c>
      <c r="Q402" t="s">
        <v>32</v>
      </c>
      <c r="R402">
        <v>53.28</v>
      </c>
      <c r="S402">
        <v>48.48</v>
      </c>
      <c r="T402">
        <v>31.3</v>
      </c>
      <c r="U402">
        <v>27.9</v>
      </c>
      <c r="V402">
        <v>27.24</v>
      </c>
      <c r="X402">
        <v>812</v>
      </c>
      <c r="Y402">
        <v>0</v>
      </c>
      <c r="Z402">
        <v>25.34</v>
      </c>
      <c r="AA402">
        <v>18.52</v>
      </c>
      <c r="AB402">
        <v>23.4</v>
      </c>
    </row>
    <row r="403" spans="1:28" hidden="1" x14ac:dyDescent="0.2">
      <c r="A403" t="s">
        <v>945</v>
      </c>
      <c r="B403" t="s">
        <v>946</v>
      </c>
      <c r="F403">
        <v>68</v>
      </c>
      <c r="H403">
        <v>1</v>
      </c>
      <c r="I403">
        <v>0</v>
      </c>
      <c r="K403" s="1">
        <v>43316</v>
      </c>
      <c r="L403" t="s">
        <v>71</v>
      </c>
      <c r="M403" t="s">
        <v>947</v>
      </c>
      <c r="N403" s="1">
        <v>44192</v>
      </c>
      <c r="Q403">
        <v>4.83</v>
      </c>
      <c r="R403">
        <v>-28.47</v>
      </c>
      <c r="S403">
        <v>-8.8000000000000007</v>
      </c>
      <c r="T403">
        <v>-6.31</v>
      </c>
      <c r="U403">
        <v>4.74</v>
      </c>
      <c r="V403">
        <v>5.28</v>
      </c>
      <c r="Y403">
        <v>32.4</v>
      </c>
      <c r="Z403">
        <v>20.5</v>
      </c>
      <c r="AA403">
        <v>2.4500000000000002</v>
      </c>
      <c r="AB403">
        <v>7.83</v>
      </c>
    </row>
    <row r="404" spans="1:28" hidden="1" x14ac:dyDescent="0.2">
      <c r="A404" t="s">
        <v>1463</v>
      </c>
      <c r="B404" t="s">
        <v>1464</v>
      </c>
      <c r="F404">
        <v>48</v>
      </c>
      <c r="H404">
        <v>1</v>
      </c>
      <c r="I404">
        <v>0</v>
      </c>
      <c r="K404" s="1">
        <v>43316</v>
      </c>
      <c r="L404" t="s">
        <v>95</v>
      </c>
      <c r="M404" t="s">
        <v>1465</v>
      </c>
      <c r="N404" s="1">
        <v>44197</v>
      </c>
      <c r="O404">
        <v>223</v>
      </c>
      <c r="P404" t="s">
        <v>2403</v>
      </c>
      <c r="Q404" t="s">
        <v>32</v>
      </c>
      <c r="R404">
        <v>76.77</v>
      </c>
      <c r="S404">
        <v>13.58</v>
      </c>
      <c r="T404">
        <v>8.43</v>
      </c>
      <c r="U404">
        <v>-2.71</v>
      </c>
      <c r="V404" t="s">
        <v>32</v>
      </c>
      <c r="X404">
        <v>96</v>
      </c>
      <c r="Y404">
        <v>1.1000000000000001</v>
      </c>
      <c r="Z404">
        <v>6.38</v>
      </c>
      <c r="AA404">
        <v>3.18</v>
      </c>
      <c r="AB404">
        <v>4.22</v>
      </c>
    </row>
    <row r="405" spans="1:28" hidden="1" x14ac:dyDescent="0.2">
      <c r="A405" t="s">
        <v>1174</v>
      </c>
      <c r="B405" t="s">
        <v>1175</v>
      </c>
      <c r="F405">
        <v>94</v>
      </c>
      <c r="H405">
        <v>1</v>
      </c>
      <c r="I405">
        <v>0</v>
      </c>
      <c r="J405" t="s">
        <v>53</v>
      </c>
      <c r="K405" s="1">
        <v>43316</v>
      </c>
      <c r="L405" t="s">
        <v>26</v>
      </c>
      <c r="M405" t="s">
        <v>332</v>
      </c>
      <c r="N405" s="1">
        <v>44197</v>
      </c>
      <c r="O405">
        <v>1053</v>
      </c>
      <c r="P405" t="s">
        <v>2403</v>
      </c>
      <c r="Q405" t="s">
        <v>32</v>
      </c>
      <c r="R405">
        <v>38.39</v>
      </c>
      <c r="S405">
        <v>30.88</v>
      </c>
      <c r="T405">
        <v>35.06</v>
      </c>
      <c r="U405">
        <v>25.28</v>
      </c>
      <c r="V405">
        <v>22.48</v>
      </c>
      <c r="X405">
        <v>602</v>
      </c>
      <c r="Y405">
        <v>6</v>
      </c>
      <c r="Z405">
        <v>24.45</v>
      </c>
      <c r="AA405">
        <v>10.67</v>
      </c>
      <c r="AB405">
        <v>12.38</v>
      </c>
    </row>
    <row r="406" spans="1:28" hidden="1" x14ac:dyDescent="0.2">
      <c r="A406" t="s">
        <v>951</v>
      </c>
      <c r="B406" t="s">
        <v>952</v>
      </c>
      <c r="F406">
        <v>31</v>
      </c>
      <c r="H406">
        <v>1</v>
      </c>
      <c r="I406">
        <v>0</v>
      </c>
      <c r="K406" s="1">
        <v>43316</v>
      </c>
      <c r="L406" t="s">
        <v>226</v>
      </c>
      <c r="M406" t="s">
        <v>366</v>
      </c>
      <c r="N406" s="1">
        <v>44192</v>
      </c>
      <c r="Q406">
        <v>3.13</v>
      </c>
      <c r="R406">
        <v>-54.92</v>
      </c>
      <c r="S406">
        <v>-30.25</v>
      </c>
      <c r="T406">
        <v>-14.14</v>
      </c>
      <c r="U406">
        <v>-8.7200000000000006</v>
      </c>
      <c r="V406" t="s">
        <v>32</v>
      </c>
      <c r="Y406">
        <v>1</v>
      </c>
      <c r="Z406">
        <v>-42.41</v>
      </c>
      <c r="AA406">
        <v>-25.92</v>
      </c>
      <c r="AB406">
        <v>-79.37</v>
      </c>
    </row>
    <row r="407" spans="1:28" hidden="1" x14ac:dyDescent="0.2">
      <c r="A407" s="4" t="s">
        <v>401</v>
      </c>
      <c r="B407" t="s">
        <v>402</v>
      </c>
      <c r="F407">
        <v>69</v>
      </c>
      <c r="H407">
        <v>1</v>
      </c>
      <c r="I407">
        <v>0</v>
      </c>
      <c r="J407" t="s">
        <v>53</v>
      </c>
      <c r="K407" s="1">
        <v>43316</v>
      </c>
      <c r="L407" t="s">
        <v>35</v>
      </c>
      <c r="M407" t="s">
        <v>50</v>
      </c>
      <c r="N407" s="1">
        <v>44192</v>
      </c>
      <c r="Q407">
        <v>2.0299999999999998</v>
      </c>
      <c r="R407" s="6">
        <v>44.44</v>
      </c>
      <c r="S407" s="6">
        <v>13.41</v>
      </c>
      <c r="T407" s="6">
        <v>17.82</v>
      </c>
      <c r="U407" s="6">
        <v>15.55</v>
      </c>
      <c r="V407" s="6">
        <v>14.37</v>
      </c>
      <c r="W407" s="6"/>
      <c r="Y407">
        <v>2.7</v>
      </c>
      <c r="Z407">
        <v>29.83</v>
      </c>
      <c r="AA407">
        <v>2.85</v>
      </c>
      <c r="AB407">
        <v>14.14</v>
      </c>
    </row>
    <row r="408" spans="1:28" hidden="1" x14ac:dyDescent="0.2">
      <c r="A408" t="s">
        <v>885</v>
      </c>
      <c r="B408" t="s">
        <v>886</v>
      </c>
      <c r="F408">
        <v>100</v>
      </c>
      <c r="H408">
        <v>1</v>
      </c>
      <c r="I408">
        <v>0</v>
      </c>
      <c r="K408" s="1">
        <v>43316</v>
      </c>
      <c r="L408" t="s">
        <v>43</v>
      </c>
      <c r="M408" t="s">
        <v>435</v>
      </c>
      <c r="N408" s="1">
        <v>44192</v>
      </c>
      <c r="Q408">
        <v>1.1499999999999999</v>
      </c>
      <c r="R408">
        <v>37.85</v>
      </c>
      <c r="S408">
        <v>10.199999999999999</v>
      </c>
      <c r="T408">
        <v>10.58</v>
      </c>
      <c r="U408" t="s">
        <v>32</v>
      </c>
      <c r="V408" t="s">
        <v>32</v>
      </c>
      <c r="Y408">
        <v>1.7</v>
      </c>
      <c r="Z408">
        <v>8.36</v>
      </c>
      <c r="AA408">
        <v>7.71</v>
      </c>
      <c r="AB408">
        <v>19.89</v>
      </c>
    </row>
    <row r="409" spans="1:28" hidden="1" x14ac:dyDescent="0.2">
      <c r="A409" t="s">
        <v>957</v>
      </c>
      <c r="B409" t="s">
        <v>958</v>
      </c>
      <c r="N409" s="1">
        <v>44192</v>
      </c>
      <c r="Q409">
        <v>3.61</v>
      </c>
      <c r="R409">
        <v>3.05</v>
      </c>
      <c r="S409">
        <v>7.79</v>
      </c>
      <c r="T409">
        <v>11.73</v>
      </c>
      <c r="U409">
        <v>4.43</v>
      </c>
      <c r="V409">
        <v>6.46</v>
      </c>
      <c r="Y409">
        <v>0</v>
      </c>
      <c r="Z409">
        <v>13.73</v>
      </c>
      <c r="AA409">
        <v>2.2400000000000002</v>
      </c>
      <c r="AB409">
        <v>7.36</v>
      </c>
    </row>
    <row r="410" spans="1:28" hidden="1" x14ac:dyDescent="0.2">
      <c r="A410" t="s">
        <v>959</v>
      </c>
      <c r="B410" t="s">
        <v>960</v>
      </c>
      <c r="F410">
        <v>72</v>
      </c>
      <c r="G410">
        <v>3.8</v>
      </c>
      <c r="K410" s="1">
        <v>43716</v>
      </c>
      <c r="L410" t="s">
        <v>95</v>
      </c>
      <c r="M410" t="s">
        <v>913</v>
      </c>
      <c r="N410" s="1">
        <v>44192</v>
      </c>
      <c r="O410">
        <v>591</v>
      </c>
      <c r="Q410">
        <v>0.4</v>
      </c>
      <c r="R410">
        <v>7.2</v>
      </c>
      <c r="S410">
        <v>4.3899999999999997</v>
      </c>
      <c r="T410" t="s">
        <v>32</v>
      </c>
      <c r="U410" t="s">
        <v>32</v>
      </c>
      <c r="V410" t="s">
        <v>32</v>
      </c>
      <c r="X410">
        <v>442</v>
      </c>
      <c r="Y410">
        <v>42.1</v>
      </c>
      <c r="Z410">
        <v>7.25</v>
      </c>
      <c r="AA410">
        <v>3.08</v>
      </c>
      <c r="AB410">
        <v>7.03</v>
      </c>
    </row>
    <row r="411" spans="1:28" hidden="1" x14ac:dyDescent="0.2">
      <c r="A411" t="s">
        <v>961</v>
      </c>
      <c r="B411" t="s">
        <v>962</v>
      </c>
      <c r="L411" t="s">
        <v>35</v>
      </c>
      <c r="M411" t="s">
        <v>235</v>
      </c>
      <c r="N411" s="1">
        <v>44192</v>
      </c>
      <c r="Q411">
        <v>2.87</v>
      </c>
      <c r="R411">
        <v>1.92</v>
      </c>
      <c r="S411">
        <v>7.92</v>
      </c>
      <c r="T411">
        <v>13.9</v>
      </c>
      <c r="U411">
        <v>13.55</v>
      </c>
      <c r="V411">
        <v>7.06</v>
      </c>
      <c r="Y411">
        <v>0</v>
      </c>
      <c r="Z411">
        <v>33.869999999999997</v>
      </c>
      <c r="AA411">
        <v>1.53</v>
      </c>
      <c r="AB411">
        <v>11.5</v>
      </c>
    </row>
    <row r="412" spans="1:28" hidden="1" x14ac:dyDescent="0.2">
      <c r="A412" t="s">
        <v>963</v>
      </c>
      <c r="B412" t="s">
        <v>964</v>
      </c>
      <c r="F412">
        <v>23</v>
      </c>
      <c r="H412">
        <v>1</v>
      </c>
      <c r="I412">
        <v>0</v>
      </c>
      <c r="K412" s="1">
        <v>43316</v>
      </c>
      <c r="L412" t="s">
        <v>43</v>
      </c>
      <c r="M412" t="s">
        <v>965</v>
      </c>
      <c r="N412" s="1">
        <v>44192</v>
      </c>
      <c r="Q412">
        <v>13.38</v>
      </c>
      <c r="R412">
        <v>-56.49</v>
      </c>
      <c r="S412">
        <v>-30.22</v>
      </c>
      <c r="T412">
        <v>-15.46</v>
      </c>
      <c r="U412" t="s">
        <v>32</v>
      </c>
      <c r="V412" t="s">
        <v>32</v>
      </c>
      <c r="Y412">
        <v>0</v>
      </c>
      <c r="Z412">
        <v>-19.920000000000002</v>
      </c>
      <c r="AA412">
        <v>-26.89</v>
      </c>
      <c r="AB412">
        <v>-122.37</v>
      </c>
    </row>
    <row r="413" spans="1:28" hidden="1" x14ac:dyDescent="0.2">
      <c r="A413" t="s">
        <v>966</v>
      </c>
      <c r="B413" t="s">
        <v>967</v>
      </c>
      <c r="F413">
        <v>45</v>
      </c>
      <c r="H413">
        <v>1</v>
      </c>
      <c r="I413">
        <v>0</v>
      </c>
      <c r="K413" s="1">
        <v>43316</v>
      </c>
      <c r="L413" t="s">
        <v>39</v>
      </c>
      <c r="M413" t="s">
        <v>60</v>
      </c>
      <c r="N413" s="1">
        <v>44192</v>
      </c>
      <c r="Q413">
        <v>2.89</v>
      </c>
      <c r="R413">
        <v>-14.25</v>
      </c>
      <c r="S413">
        <v>-7.39</v>
      </c>
      <c r="T413">
        <v>3.64</v>
      </c>
      <c r="U413">
        <v>9.64</v>
      </c>
      <c r="V413">
        <v>8.1</v>
      </c>
      <c r="Y413">
        <v>3.6</v>
      </c>
      <c r="Z413">
        <v>8.33</v>
      </c>
      <c r="AA413">
        <v>6.43</v>
      </c>
      <c r="AB413">
        <v>22.57</v>
      </c>
    </row>
    <row r="414" spans="1:28" hidden="1" x14ac:dyDescent="0.2">
      <c r="A414" t="s">
        <v>376</v>
      </c>
      <c r="B414" t="s">
        <v>377</v>
      </c>
      <c r="N414" s="1">
        <v>44192</v>
      </c>
      <c r="Q414">
        <v>4</v>
      </c>
      <c r="R414">
        <v>12.78</v>
      </c>
      <c r="S414">
        <v>10.89</v>
      </c>
      <c r="T414">
        <v>19.82</v>
      </c>
      <c r="U414">
        <v>17.399999999999999</v>
      </c>
      <c r="V414" t="s">
        <v>32</v>
      </c>
      <c r="Y414">
        <v>0</v>
      </c>
      <c r="Z414">
        <v>-0.67</v>
      </c>
      <c r="AA414">
        <v>-0.11</v>
      </c>
      <c r="AB414">
        <v>-1.03</v>
      </c>
    </row>
    <row r="415" spans="1:28" hidden="1" x14ac:dyDescent="0.2">
      <c r="A415" t="s">
        <v>2024</v>
      </c>
      <c r="B415" t="s">
        <v>2025</v>
      </c>
      <c r="H415">
        <v>1</v>
      </c>
      <c r="I415">
        <v>0</v>
      </c>
      <c r="K415" s="1">
        <v>43316</v>
      </c>
      <c r="L415" t="s">
        <v>26</v>
      </c>
      <c r="M415" t="s">
        <v>77</v>
      </c>
      <c r="N415" s="1">
        <v>44193</v>
      </c>
      <c r="O415">
        <v>1756</v>
      </c>
      <c r="Q415">
        <v>0.99</v>
      </c>
      <c r="R415">
        <v>13.13</v>
      </c>
      <c r="S415">
        <v>16.440000000000001</v>
      </c>
      <c r="T415">
        <v>21.18</v>
      </c>
      <c r="U415">
        <v>16.71</v>
      </c>
      <c r="V415">
        <v>12.04</v>
      </c>
      <c r="X415">
        <v>983</v>
      </c>
      <c r="Y415">
        <v>3.8</v>
      </c>
      <c r="Z415">
        <v>12.35</v>
      </c>
      <c r="AA415">
        <v>5.96</v>
      </c>
      <c r="AB415">
        <v>13.88</v>
      </c>
    </row>
    <row r="416" spans="1:28" hidden="1" x14ac:dyDescent="0.2">
      <c r="A416" t="s">
        <v>972</v>
      </c>
      <c r="B416" t="s">
        <v>973</v>
      </c>
      <c r="F416">
        <v>58</v>
      </c>
      <c r="H416">
        <v>1</v>
      </c>
      <c r="I416">
        <v>0</v>
      </c>
      <c r="K416" s="1">
        <v>43316</v>
      </c>
      <c r="L416" t="s">
        <v>39</v>
      </c>
      <c r="M416" t="s">
        <v>197</v>
      </c>
      <c r="N416" s="1">
        <v>44192</v>
      </c>
      <c r="Q416">
        <v>0.39</v>
      </c>
      <c r="R416">
        <v>-4.47</v>
      </c>
      <c r="S416">
        <v>-13.36</v>
      </c>
      <c r="T416">
        <v>-15.82</v>
      </c>
      <c r="U416">
        <v>-0.63</v>
      </c>
      <c r="V416">
        <v>-3.29</v>
      </c>
      <c r="Y416">
        <v>6.7</v>
      </c>
      <c r="Z416">
        <v>3.96</v>
      </c>
      <c r="AA416">
        <v>1.29</v>
      </c>
      <c r="AB416">
        <v>10.87</v>
      </c>
    </row>
    <row r="417" spans="1:28" hidden="1" x14ac:dyDescent="0.2">
      <c r="A417" t="s">
        <v>974</v>
      </c>
      <c r="B417" t="s">
        <v>975</v>
      </c>
      <c r="L417" t="s">
        <v>43</v>
      </c>
      <c r="M417" t="s">
        <v>405</v>
      </c>
      <c r="N417" s="1">
        <v>44192</v>
      </c>
      <c r="Q417">
        <v>3.62</v>
      </c>
      <c r="R417">
        <v>9.61</v>
      </c>
      <c r="S417">
        <v>-5.0199999999999996</v>
      </c>
      <c r="T417">
        <v>11.52</v>
      </c>
      <c r="U417">
        <v>0.16</v>
      </c>
      <c r="V417">
        <v>5.09</v>
      </c>
      <c r="Y417">
        <v>0</v>
      </c>
      <c r="Z417">
        <v>2.41</v>
      </c>
      <c r="AA417">
        <v>1.99</v>
      </c>
      <c r="AB417">
        <v>9.52</v>
      </c>
    </row>
    <row r="418" spans="1:28" hidden="1" x14ac:dyDescent="0.2">
      <c r="A418" t="s">
        <v>976</v>
      </c>
      <c r="B418" t="s">
        <v>977</v>
      </c>
      <c r="L418" t="s">
        <v>26</v>
      </c>
      <c r="M418" t="s">
        <v>275</v>
      </c>
      <c r="N418" s="1">
        <v>44194</v>
      </c>
      <c r="R418">
        <v>13.77</v>
      </c>
      <c r="S418">
        <v>-4.9800000000000004</v>
      </c>
      <c r="T418">
        <v>-20.23</v>
      </c>
      <c r="U418">
        <v>-10.73</v>
      </c>
      <c r="V418">
        <v>-10.35</v>
      </c>
      <c r="Y418">
        <v>0</v>
      </c>
    </row>
    <row r="419" spans="1:28" hidden="1" x14ac:dyDescent="0.2">
      <c r="A419" t="s">
        <v>1280</v>
      </c>
      <c r="B419" t="s">
        <v>1281</v>
      </c>
      <c r="F419">
        <v>39</v>
      </c>
      <c r="H419">
        <v>1</v>
      </c>
      <c r="I419">
        <v>0</v>
      </c>
      <c r="J419" t="s">
        <v>68</v>
      </c>
      <c r="K419" s="1">
        <v>43316</v>
      </c>
      <c r="L419" t="s">
        <v>71</v>
      </c>
      <c r="M419" t="s">
        <v>1282</v>
      </c>
      <c r="N419" s="1">
        <v>44192</v>
      </c>
      <c r="R419">
        <v>2097.06</v>
      </c>
      <c r="S419">
        <v>177.12</v>
      </c>
      <c r="T419">
        <v>241.85</v>
      </c>
      <c r="U419">
        <v>31.18</v>
      </c>
      <c r="V419" t="s">
        <v>32</v>
      </c>
      <c r="Y419">
        <v>0</v>
      </c>
    </row>
    <row r="420" spans="1:28" hidden="1" x14ac:dyDescent="0.2">
      <c r="A420" t="s">
        <v>1494</v>
      </c>
      <c r="B420" t="s">
        <v>1495</v>
      </c>
      <c r="N420" s="1">
        <v>44193</v>
      </c>
      <c r="Q420">
        <v>1.28</v>
      </c>
      <c r="R420">
        <v>13.39</v>
      </c>
      <c r="S420">
        <v>10.57</v>
      </c>
      <c r="T420">
        <v>18.36</v>
      </c>
      <c r="U420">
        <v>19.010000000000002</v>
      </c>
      <c r="V420">
        <v>15.8</v>
      </c>
      <c r="Y420">
        <v>0</v>
      </c>
      <c r="Z420">
        <v>2.82</v>
      </c>
      <c r="AA420">
        <v>0.98</v>
      </c>
      <c r="AB420">
        <v>4.18</v>
      </c>
    </row>
    <row r="421" spans="1:28" hidden="1" x14ac:dyDescent="0.2">
      <c r="A421" t="s">
        <v>1791</v>
      </c>
      <c r="B421" t="s">
        <v>1792</v>
      </c>
      <c r="N421" s="1">
        <v>44197</v>
      </c>
      <c r="O421">
        <v>34</v>
      </c>
      <c r="P421" t="s">
        <v>2403</v>
      </c>
      <c r="Q421" t="s">
        <v>32</v>
      </c>
      <c r="R421">
        <v>-29.13</v>
      </c>
      <c r="S421">
        <v>-13.66</v>
      </c>
      <c r="T421">
        <v>-11.71</v>
      </c>
      <c r="U421">
        <v>3.05</v>
      </c>
      <c r="V421">
        <v>11.59</v>
      </c>
      <c r="X421" t="s">
        <v>32</v>
      </c>
      <c r="Y421">
        <v>0</v>
      </c>
      <c r="Z421">
        <v>1.5</v>
      </c>
      <c r="AA421">
        <v>1.27</v>
      </c>
      <c r="AB421">
        <v>2.66</v>
      </c>
    </row>
    <row r="422" spans="1:28" hidden="1" x14ac:dyDescent="0.2">
      <c r="A422" t="s">
        <v>984</v>
      </c>
      <c r="B422" t="s">
        <v>985</v>
      </c>
      <c r="L422" t="s">
        <v>43</v>
      </c>
      <c r="M422" t="s">
        <v>85</v>
      </c>
      <c r="N422" s="1">
        <v>44193</v>
      </c>
      <c r="Q422">
        <v>1.1000000000000001</v>
      </c>
      <c r="R422">
        <v>-3.23</v>
      </c>
      <c r="S422">
        <v>-3.16</v>
      </c>
      <c r="T422">
        <v>0.71</v>
      </c>
      <c r="U422">
        <v>7.98</v>
      </c>
      <c r="V422">
        <v>7.38</v>
      </c>
      <c r="Y422">
        <v>0</v>
      </c>
      <c r="Z422">
        <v>-13.34</v>
      </c>
      <c r="AA422">
        <v>-8.19</v>
      </c>
      <c r="AB422">
        <v>-15.13</v>
      </c>
    </row>
    <row r="423" spans="1:28" hidden="1" x14ac:dyDescent="0.2">
      <c r="A423" t="s">
        <v>986</v>
      </c>
      <c r="B423" t="s">
        <v>987</v>
      </c>
      <c r="F423">
        <v>58</v>
      </c>
      <c r="H423">
        <v>1</v>
      </c>
      <c r="I423">
        <v>0</v>
      </c>
      <c r="K423" s="1">
        <v>43316</v>
      </c>
      <c r="L423" t="s">
        <v>26</v>
      </c>
      <c r="M423" t="s">
        <v>202</v>
      </c>
      <c r="N423" s="1">
        <v>44193</v>
      </c>
      <c r="O423">
        <v>1268</v>
      </c>
      <c r="Q423">
        <v>4.4000000000000004</v>
      </c>
      <c r="R423">
        <v>-10.39</v>
      </c>
      <c r="S423">
        <v>-3.87</v>
      </c>
      <c r="T423">
        <v>-7.93</v>
      </c>
      <c r="U423">
        <v>14.43</v>
      </c>
      <c r="V423">
        <v>11.5</v>
      </c>
      <c r="X423">
        <v>11152</v>
      </c>
      <c r="Y423">
        <v>0.4</v>
      </c>
      <c r="Z423">
        <v>5.48</v>
      </c>
      <c r="AA423">
        <v>2.11</v>
      </c>
      <c r="AB423">
        <v>6.67</v>
      </c>
    </row>
    <row r="424" spans="1:28" hidden="1" x14ac:dyDescent="0.2">
      <c r="A424" t="s">
        <v>988</v>
      </c>
      <c r="B424" t="s">
        <v>989</v>
      </c>
      <c r="F424">
        <v>31</v>
      </c>
      <c r="H424">
        <v>0</v>
      </c>
      <c r="I424">
        <v>0</v>
      </c>
      <c r="K424" s="1">
        <v>43316</v>
      </c>
      <c r="L424" t="s">
        <v>99</v>
      </c>
      <c r="M424" t="s">
        <v>457</v>
      </c>
      <c r="N424" s="1">
        <v>44193</v>
      </c>
      <c r="Q424">
        <v>3.26</v>
      </c>
      <c r="R424">
        <v>15.35</v>
      </c>
      <c r="S424">
        <v>2.65</v>
      </c>
      <c r="T424">
        <v>3.23</v>
      </c>
      <c r="U424">
        <v>7.84</v>
      </c>
      <c r="V424">
        <v>8.14</v>
      </c>
      <c r="Y424">
        <v>3.9</v>
      </c>
      <c r="Z424">
        <v>13.16</v>
      </c>
      <c r="AA424">
        <v>7.67</v>
      </c>
      <c r="AB424">
        <v>29.6</v>
      </c>
    </row>
    <row r="425" spans="1:28" hidden="1" x14ac:dyDescent="0.2">
      <c r="A425" t="s">
        <v>955</v>
      </c>
      <c r="B425" t="s">
        <v>956</v>
      </c>
      <c r="F425">
        <v>42</v>
      </c>
      <c r="H425">
        <v>1</v>
      </c>
      <c r="I425">
        <v>0</v>
      </c>
      <c r="J425" t="s">
        <v>53</v>
      </c>
      <c r="K425" s="1">
        <v>43316</v>
      </c>
      <c r="L425" t="s">
        <v>35</v>
      </c>
      <c r="M425" t="s">
        <v>132</v>
      </c>
      <c r="N425" s="1">
        <v>44197</v>
      </c>
      <c r="O425">
        <v>715</v>
      </c>
      <c r="P425" t="s">
        <v>2403</v>
      </c>
      <c r="Q425" t="s">
        <v>32</v>
      </c>
      <c r="R425">
        <v>-9.08</v>
      </c>
      <c r="S425">
        <v>2.2599999999999998</v>
      </c>
      <c r="T425">
        <v>11.42</v>
      </c>
      <c r="U425">
        <v>14.21</v>
      </c>
      <c r="V425">
        <v>9.8699999999999992</v>
      </c>
      <c r="X425" t="s">
        <v>32</v>
      </c>
      <c r="Y425">
        <v>0</v>
      </c>
      <c r="Z425">
        <v>15.38</v>
      </c>
      <c r="AA425">
        <v>2.65</v>
      </c>
      <c r="AB425">
        <v>9.1999999999999993</v>
      </c>
    </row>
    <row r="426" spans="1:28" hidden="1" x14ac:dyDescent="0.2">
      <c r="A426" t="s">
        <v>990</v>
      </c>
      <c r="B426" t="s">
        <v>991</v>
      </c>
      <c r="F426">
        <v>44</v>
      </c>
      <c r="H426">
        <v>1</v>
      </c>
      <c r="I426">
        <v>0</v>
      </c>
      <c r="K426" s="1">
        <v>43316</v>
      </c>
      <c r="L426" t="s">
        <v>226</v>
      </c>
      <c r="M426" t="s">
        <v>386</v>
      </c>
      <c r="N426" s="1">
        <v>44193</v>
      </c>
      <c r="Q426">
        <v>11.24</v>
      </c>
      <c r="R426">
        <v>-8.34</v>
      </c>
      <c r="S426">
        <v>11.62</v>
      </c>
      <c r="T426">
        <v>8.98</v>
      </c>
      <c r="U426">
        <v>3.51</v>
      </c>
      <c r="V426">
        <v>6.21</v>
      </c>
      <c r="Y426">
        <v>0</v>
      </c>
      <c r="Z426">
        <v>0.94</v>
      </c>
      <c r="AA426">
        <v>3.45</v>
      </c>
      <c r="AB426">
        <v>18</v>
      </c>
    </row>
    <row r="427" spans="1:28" hidden="1" x14ac:dyDescent="0.2">
      <c r="A427" s="4" t="s">
        <v>1408</v>
      </c>
      <c r="B427" t="s">
        <v>1409</v>
      </c>
      <c r="E427" t="s">
        <v>2413</v>
      </c>
      <c r="F427">
        <v>86</v>
      </c>
      <c r="G427">
        <v>3.7</v>
      </c>
      <c r="J427" t="s">
        <v>80</v>
      </c>
      <c r="K427" s="1">
        <v>44138</v>
      </c>
      <c r="L427" t="s">
        <v>95</v>
      </c>
      <c r="M427" t="s">
        <v>542</v>
      </c>
      <c r="N427" s="1">
        <v>44197</v>
      </c>
      <c r="O427">
        <v>141</v>
      </c>
      <c r="P427" t="s">
        <v>2403</v>
      </c>
      <c r="Q427" t="s">
        <v>32</v>
      </c>
      <c r="R427">
        <v>208.34</v>
      </c>
      <c r="S427">
        <v>159.69999999999999</v>
      </c>
      <c r="T427" t="s">
        <v>32</v>
      </c>
      <c r="U427" t="s">
        <v>32</v>
      </c>
      <c r="V427" t="s">
        <v>32</v>
      </c>
      <c r="X427">
        <v>151</v>
      </c>
      <c r="Y427">
        <v>7.7</v>
      </c>
      <c r="Z427">
        <v>19.309999999999999</v>
      </c>
      <c r="AA427">
        <v>7.96</v>
      </c>
      <c r="AB427">
        <v>20.67</v>
      </c>
    </row>
    <row r="428" spans="1:28" hidden="1" x14ac:dyDescent="0.2">
      <c r="A428" t="s">
        <v>995</v>
      </c>
      <c r="B428" t="s">
        <v>996</v>
      </c>
      <c r="F428">
        <v>65</v>
      </c>
      <c r="H428">
        <v>1</v>
      </c>
      <c r="I428">
        <v>0</v>
      </c>
      <c r="K428" s="1">
        <v>43316</v>
      </c>
      <c r="L428" t="s">
        <v>95</v>
      </c>
      <c r="M428" t="s">
        <v>117</v>
      </c>
      <c r="N428" s="1">
        <v>44193</v>
      </c>
      <c r="O428">
        <v>292</v>
      </c>
      <c r="Q428">
        <v>2.35</v>
      </c>
      <c r="R428">
        <v>28.9</v>
      </c>
      <c r="S428">
        <v>6.1</v>
      </c>
      <c r="T428">
        <v>16.5</v>
      </c>
      <c r="U428">
        <v>7.94</v>
      </c>
      <c r="V428">
        <v>5.08</v>
      </c>
      <c r="X428">
        <v>1200</v>
      </c>
      <c r="Y428">
        <v>1.5</v>
      </c>
      <c r="Z428">
        <v>1.8</v>
      </c>
      <c r="AA428">
        <v>0.67</v>
      </c>
      <c r="AB428">
        <v>1.84</v>
      </c>
    </row>
    <row r="429" spans="1:28" hidden="1" x14ac:dyDescent="0.2">
      <c r="A429" t="s">
        <v>997</v>
      </c>
      <c r="B429" t="s">
        <v>998</v>
      </c>
      <c r="F429">
        <v>63</v>
      </c>
      <c r="H429">
        <v>1</v>
      </c>
      <c r="I429">
        <v>0</v>
      </c>
      <c r="K429" s="1">
        <v>43316</v>
      </c>
      <c r="L429" t="s">
        <v>43</v>
      </c>
      <c r="M429" t="s">
        <v>161</v>
      </c>
      <c r="N429" s="1">
        <v>44193</v>
      </c>
      <c r="Q429">
        <v>1.73</v>
      </c>
      <c r="R429">
        <v>14.71</v>
      </c>
      <c r="S429">
        <v>2.31</v>
      </c>
      <c r="T429">
        <v>6.78</v>
      </c>
      <c r="U429">
        <v>3.82</v>
      </c>
      <c r="V429" t="s">
        <v>32</v>
      </c>
      <c r="Y429">
        <v>0.7</v>
      </c>
      <c r="Z429">
        <v>2.78</v>
      </c>
      <c r="AA429">
        <v>1.36</v>
      </c>
      <c r="AB429">
        <v>7.31</v>
      </c>
    </row>
    <row r="430" spans="1:28" hidden="1" x14ac:dyDescent="0.2">
      <c r="A430" t="s">
        <v>1507</v>
      </c>
      <c r="B430" t="s">
        <v>1508</v>
      </c>
      <c r="F430">
        <v>27</v>
      </c>
      <c r="H430">
        <v>1</v>
      </c>
      <c r="I430">
        <v>0</v>
      </c>
      <c r="K430" s="1">
        <v>43316</v>
      </c>
      <c r="L430" t="s">
        <v>43</v>
      </c>
      <c r="M430" t="s">
        <v>47</v>
      </c>
      <c r="N430" s="1">
        <v>44197</v>
      </c>
      <c r="O430">
        <v>-275</v>
      </c>
      <c r="P430" t="s">
        <v>2403</v>
      </c>
      <c r="Q430" t="s">
        <v>32</v>
      </c>
      <c r="R430">
        <v>209.87</v>
      </c>
      <c r="S430">
        <v>4.93</v>
      </c>
      <c r="T430">
        <v>-3.27</v>
      </c>
      <c r="U430">
        <v>2.1800000000000002</v>
      </c>
      <c r="V430">
        <v>3.94</v>
      </c>
      <c r="X430" t="s">
        <v>32</v>
      </c>
      <c r="Y430">
        <v>0</v>
      </c>
      <c r="Z430">
        <v>-5.32</v>
      </c>
      <c r="AA430">
        <v>-9.56</v>
      </c>
      <c r="AB430">
        <v>-57.9</v>
      </c>
    </row>
    <row r="431" spans="1:28" hidden="1" x14ac:dyDescent="0.2">
      <c r="A431" t="s">
        <v>1160</v>
      </c>
      <c r="B431" t="s">
        <v>1161</v>
      </c>
      <c r="N431" s="1">
        <v>44193</v>
      </c>
      <c r="Q431">
        <v>0.68</v>
      </c>
      <c r="R431">
        <v>15.87</v>
      </c>
      <c r="S431">
        <v>24.55</v>
      </c>
      <c r="T431">
        <v>21.62</v>
      </c>
      <c r="U431">
        <v>14.53</v>
      </c>
      <c r="V431">
        <v>19.760000000000002</v>
      </c>
      <c r="Y431">
        <v>2.1</v>
      </c>
      <c r="Z431">
        <v>21.45</v>
      </c>
      <c r="AA431">
        <v>5.74</v>
      </c>
      <c r="AB431">
        <v>10.97</v>
      </c>
    </row>
    <row r="432" spans="1:28" hidden="1" x14ac:dyDescent="0.2">
      <c r="A432" t="s">
        <v>1001</v>
      </c>
      <c r="B432" t="s">
        <v>1002</v>
      </c>
      <c r="F432">
        <v>12</v>
      </c>
      <c r="G432">
        <v>2.2999999999999998</v>
      </c>
      <c r="K432" s="1">
        <v>43716</v>
      </c>
      <c r="L432" t="s">
        <v>43</v>
      </c>
      <c r="M432" t="s">
        <v>169</v>
      </c>
      <c r="N432" s="1">
        <v>44193</v>
      </c>
      <c r="O432">
        <v>304</v>
      </c>
      <c r="Q432">
        <v>1.46</v>
      </c>
      <c r="R432">
        <v>18.57</v>
      </c>
      <c r="S432">
        <v>19.010000000000002</v>
      </c>
      <c r="T432">
        <v>17</v>
      </c>
      <c r="U432">
        <v>9.67</v>
      </c>
      <c r="V432">
        <v>9.39</v>
      </c>
      <c r="X432">
        <v>115</v>
      </c>
      <c r="Y432">
        <v>2</v>
      </c>
      <c r="Z432">
        <v>19.010000000000002</v>
      </c>
      <c r="AA432">
        <v>13.97</v>
      </c>
      <c r="AB432">
        <v>15.96</v>
      </c>
    </row>
    <row r="433" spans="1:28" hidden="1" x14ac:dyDescent="0.2">
      <c r="A433" t="s">
        <v>953</v>
      </c>
      <c r="B433" t="s">
        <v>954</v>
      </c>
      <c r="L433" t="s">
        <v>35</v>
      </c>
      <c r="M433" t="s">
        <v>132</v>
      </c>
      <c r="N433" s="1">
        <v>44197</v>
      </c>
      <c r="O433">
        <v>-106</v>
      </c>
      <c r="P433" t="s">
        <v>2403</v>
      </c>
      <c r="Q433" t="s">
        <v>32</v>
      </c>
      <c r="R433">
        <v>-14.09</v>
      </c>
      <c r="S433">
        <v>6.72</v>
      </c>
      <c r="T433">
        <v>0.27</v>
      </c>
      <c r="U433">
        <v>-11.71</v>
      </c>
      <c r="V433">
        <v>-12.26</v>
      </c>
      <c r="X433" t="s">
        <v>32</v>
      </c>
      <c r="Y433">
        <v>0</v>
      </c>
      <c r="Z433">
        <v>-1.26</v>
      </c>
      <c r="AA433">
        <v>-0.1</v>
      </c>
      <c r="AB433">
        <v>-0.73</v>
      </c>
    </row>
    <row r="434" spans="1:28" hidden="1" x14ac:dyDescent="0.2">
      <c r="A434" t="s">
        <v>1005</v>
      </c>
      <c r="B434" t="s">
        <v>1006</v>
      </c>
      <c r="N434" s="1">
        <v>44194</v>
      </c>
      <c r="R434">
        <v>55.43</v>
      </c>
      <c r="S434">
        <v>-5.25</v>
      </c>
      <c r="T434">
        <v>-12.17</v>
      </c>
      <c r="U434" t="s">
        <v>32</v>
      </c>
      <c r="V434" t="s">
        <v>32</v>
      </c>
      <c r="Y434">
        <v>0</v>
      </c>
    </row>
    <row r="435" spans="1:28" hidden="1" x14ac:dyDescent="0.2">
      <c r="A435" t="s">
        <v>1039</v>
      </c>
      <c r="B435" t="s">
        <v>1040</v>
      </c>
      <c r="N435" s="1">
        <v>44193</v>
      </c>
      <c r="Q435">
        <v>1.34</v>
      </c>
      <c r="R435">
        <v>26.76</v>
      </c>
      <c r="S435">
        <v>17.59</v>
      </c>
      <c r="T435">
        <v>24.86</v>
      </c>
      <c r="U435">
        <v>-6.69</v>
      </c>
      <c r="V435">
        <v>0.09</v>
      </c>
      <c r="Y435">
        <v>0</v>
      </c>
      <c r="Z435">
        <v>24.81</v>
      </c>
      <c r="AA435">
        <v>6.73</v>
      </c>
      <c r="AB435">
        <v>14.09</v>
      </c>
    </row>
    <row r="436" spans="1:28" hidden="1" x14ac:dyDescent="0.2">
      <c r="A436" t="s">
        <v>33</v>
      </c>
      <c r="B436" t="s">
        <v>34</v>
      </c>
      <c r="L436" t="s">
        <v>35</v>
      </c>
      <c r="M436" t="s">
        <v>36</v>
      </c>
      <c r="N436" s="1">
        <v>44189</v>
      </c>
      <c r="P436">
        <v>23000</v>
      </c>
      <c r="Q436">
        <v>1.51</v>
      </c>
      <c r="R436">
        <v>16.34</v>
      </c>
      <c r="S436">
        <v>13.89</v>
      </c>
      <c r="T436">
        <v>14.93</v>
      </c>
      <c r="U436" t="s">
        <v>32</v>
      </c>
      <c r="V436" t="s">
        <v>32</v>
      </c>
      <c r="Y436">
        <v>0</v>
      </c>
      <c r="Z436">
        <v>12.87</v>
      </c>
      <c r="AA436">
        <v>2.0099999999999998</v>
      </c>
      <c r="AB436">
        <v>10.28</v>
      </c>
    </row>
    <row r="437" spans="1:28" hidden="1" x14ac:dyDescent="0.2">
      <c r="A437" t="s">
        <v>397</v>
      </c>
      <c r="B437" t="s">
        <v>398</v>
      </c>
      <c r="H437">
        <v>1</v>
      </c>
      <c r="I437">
        <v>0</v>
      </c>
      <c r="J437" t="s">
        <v>53</v>
      </c>
      <c r="K437" s="1">
        <v>43316</v>
      </c>
      <c r="L437" t="s">
        <v>35</v>
      </c>
      <c r="M437" t="s">
        <v>210</v>
      </c>
      <c r="N437" s="1">
        <v>44193</v>
      </c>
      <c r="Q437">
        <v>0.76</v>
      </c>
      <c r="R437">
        <v>17.16</v>
      </c>
      <c r="S437">
        <v>24.46</v>
      </c>
      <c r="T437">
        <v>27.36</v>
      </c>
      <c r="U437">
        <v>24.89</v>
      </c>
      <c r="V437">
        <v>13.29</v>
      </c>
      <c r="Y437">
        <v>3.5</v>
      </c>
      <c r="Z437">
        <v>33.19</v>
      </c>
      <c r="AA437">
        <v>22.42</v>
      </c>
      <c r="AB437">
        <v>615.74</v>
      </c>
    </row>
    <row r="438" spans="1:28" hidden="1" x14ac:dyDescent="0.2">
      <c r="A438" t="s">
        <v>1011</v>
      </c>
      <c r="B438" t="s">
        <v>1012</v>
      </c>
      <c r="F438">
        <v>39</v>
      </c>
      <c r="H438">
        <v>1</v>
      </c>
      <c r="I438">
        <v>0</v>
      </c>
      <c r="K438" s="1">
        <v>43316</v>
      </c>
      <c r="L438" t="s">
        <v>43</v>
      </c>
      <c r="M438" t="s">
        <v>47</v>
      </c>
      <c r="N438" s="1">
        <v>44193</v>
      </c>
      <c r="Q438">
        <v>3.18</v>
      </c>
      <c r="R438">
        <v>-2.84</v>
      </c>
      <c r="S438">
        <v>4.47</v>
      </c>
      <c r="T438">
        <v>5.73</v>
      </c>
      <c r="U438">
        <v>9.32</v>
      </c>
      <c r="V438">
        <v>7.6</v>
      </c>
      <c r="Y438">
        <v>2.4</v>
      </c>
      <c r="Z438">
        <v>-1.04</v>
      </c>
      <c r="AA438">
        <v>-1.37</v>
      </c>
      <c r="AB438">
        <v>-5.75</v>
      </c>
    </row>
    <row r="439" spans="1:28" hidden="1" x14ac:dyDescent="0.2">
      <c r="A439" t="s">
        <v>1013</v>
      </c>
      <c r="B439" t="s">
        <v>1014</v>
      </c>
      <c r="L439" t="s">
        <v>43</v>
      </c>
      <c r="M439" t="s">
        <v>137</v>
      </c>
      <c r="N439" s="1">
        <v>44193</v>
      </c>
      <c r="Q439">
        <v>0.75</v>
      </c>
      <c r="R439">
        <v>17.89</v>
      </c>
      <c r="S439">
        <v>17.52</v>
      </c>
      <c r="T439">
        <v>10.16</v>
      </c>
      <c r="U439">
        <v>11.67</v>
      </c>
      <c r="V439">
        <v>9.7100000000000009</v>
      </c>
      <c r="Y439">
        <v>0.6</v>
      </c>
      <c r="Z439">
        <v>2.06</v>
      </c>
      <c r="AA439">
        <v>4.3899999999999997</v>
      </c>
      <c r="AB439">
        <v>17.78</v>
      </c>
    </row>
    <row r="440" spans="1:28" hidden="1" x14ac:dyDescent="0.2">
      <c r="A440" t="s">
        <v>1015</v>
      </c>
      <c r="B440" t="s">
        <v>1016</v>
      </c>
      <c r="L440" t="s">
        <v>43</v>
      </c>
      <c r="M440" t="s">
        <v>405</v>
      </c>
      <c r="N440" s="1">
        <v>44193</v>
      </c>
      <c r="Q440">
        <v>1.96</v>
      </c>
      <c r="R440">
        <v>2.2599999999999998</v>
      </c>
      <c r="S440">
        <v>5.35</v>
      </c>
      <c r="T440">
        <v>7.61</v>
      </c>
      <c r="U440">
        <v>16.670000000000002</v>
      </c>
      <c r="V440">
        <v>14.74</v>
      </c>
      <c r="Y440">
        <v>0</v>
      </c>
      <c r="Z440">
        <v>2.12</v>
      </c>
      <c r="AA440">
        <v>1.83</v>
      </c>
      <c r="AB440">
        <v>9.1199999999999992</v>
      </c>
    </row>
    <row r="441" spans="1:28" hidden="1" x14ac:dyDescent="0.2">
      <c r="A441" t="s">
        <v>2369</v>
      </c>
      <c r="B441" t="s">
        <v>2370</v>
      </c>
      <c r="N441" s="1">
        <v>44194</v>
      </c>
      <c r="R441">
        <v>17.88</v>
      </c>
      <c r="S441">
        <v>12.72</v>
      </c>
      <c r="T441" t="s">
        <v>32</v>
      </c>
      <c r="U441" t="s">
        <v>32</v>
      </c>
      <c r="V441" t="s">
        <v>32</v>
      </c>
      <c r="Y441">
        <v>2.8</v>
      </c>
      <c r="Z441">
        <v>9</v>
      </c>
      <c r="AA441">
        <v>8.4600000000000009</v>
      </c>
      <c r="AB441">
        <v>16.09</v>
      </c>
    </row>
    <row r="442" spans="1:28" hidden="1" x14ac:dyDescent="0.2">
      <c r="A442" t="s">
        <v>1019</v>
      </c>
      <c r="B442" t="s">
        <v>1020</v>
      </c>
      <c r="L442" t="s">
        <v>95</v>
      </c>
      <c r="M442" t="s">
        <v>430</v>
      </c>
      <c r="N442" s="1">
        <v>44194</v>
      </c>
      <c r="R442">
        <v>99.07</v>
      </c>
      <c r="S442">
        <v>3.6</v>
      </c>
      <c r="T442">
        <v>-13.76</v>
      </c>
      <c r="U442" t="s">
        <v>32</v>
      </c>
      <c r="V442" t="s">
        <v>32</v>
      </c>
      <c r="Y442">
        <v>0</v>
      </c>
      <c r="Z442">
        <v>-1.45</v>
      </c>
      <c r="AA442">
        <v>-2.33</v>
      </c>
      <c r="AB442">
        <v>-11.2</v>
      </c>
    </row>
    <row r="443" spans="1:28" hidden="1" x14ac:dyDescent="0.2">
      <c r="A443" t="s">
        <v>1021</v>
      </c>
      <c r="B443" t="s">
        <v>1022</v>
      </c>
      <c r="F443">
        <v>40</v>
      </c>
      <c r="H443">
        <v>0</v>
      </c>
      <c r="I443">
        <v>0</v>
      </c>
      <c r="K443" s="1">
        <v>43316</v>
      </c>
      <c r="L443" t="s">
        <v>43</v>
      </c>
      <c r="M443" t="s">
        <v>88</v>
      </c>
      <c r="N443" s="1">
        <v>44193</v>
      </c>
      <c r="Q443">
        <v>1.1599999999999999</v>
      </c>
      <c r="R443">
        <v>17.190000000000001</v>
      </c>
      <c r="S443">
        <v>-13.1</v>
      </c>
      <c r="T443">
        <v>-0.74</v>
      </c>
      <c r="U443">
        <v>2.61</v>
      </c>
      <c r="V443">
        <v>3.47</v>
      </c>
      <c r="Y443">
        <v>0</v>
      </c>
      <c r="Z443">
        <v>-7.71</v>
      </c>
      <c r="AA443">
        <v>-7.6</v>
      </c>
      <c r="AB443">
        <v>-36.07</v>
      </c>
    </row>
    <row r="444" spans="1:28" hidden="1" x14ac:dyDescent="0.2">
      <c r="A444" t="s">
        <v>1978</v>
      </c>
      <c r="B444" t="s">
        <v>1979</v>
      </c>
      <c r="N444" s="1">
        <v>44193</v>
      </c>
      <c r="O444">
        <v>570</v>
      </c>
      <c r="Q444">
        <v>0.77</v>
      </c>
      <c r="R444">
        <v>18.12</v>
      </c>
      <c r="S444">
        <v>21.73</v>
      </c>
      <c r="T444">
        <v>16.600000000000001</v>
      </c>
      <c r="U444">
        <v>21.88</v>
      </c>
      <c r="V444" t="s">
        <v>32</v>
      </c>
      <c r="X444">
        <v>399</v>
      </c>
      <c r="Y444">
        <v>2.2999999999999998</v>
      </c>
      <c r="Z444">
        <v>12.2</v>
      </c>
      <c r="AA444">
        <v>3.63</v>
      </c>
      <c r="AB444">
        <v>11.17</v>
      </c>
    </row>
    <row r="445" spans="1:28" hidden="1" x14ac:dyDescent="0.2">
      <c r="A445" t="s">
        <v>1025</v>
      </c>
      <c r="B445" t="s">
        <v>1026</v>
      </c>
      <c r="F445">
        <v>36</v>
      </c>
      <c r="H445">
        <v>0</v>
      </c>
      <c r="I445">
        <v>0</v>
      </c>
      <c r="K445" s="1">
        <v>43316</v>
      </c>
      <c r="L445" t="s">
        <v>95</v>
      </c>
      <c r="M445" t="s">
        <v>232</v>
      </c>
      <c r="N445" s="1">
        <v>44194</v>
      </c>
      <c r="R445">
        <v>-14.18</v>
      </c>
      <c r="S445">
        <v>-26.62</v>
      </c>
      <c r="T445">
        <v>-8.6300000000000008</v>
      </c>
      <c r="U445" t="s">
        <v>32</v>
      </c>
      <c r="V445" t="s">
        <v>32</v>
      </c>
      <c r="Y445">
        <v>1.7</v>
      </c>
      <c r="Z445">
        <v>-13.34</v>
      </c>
      <c r="AA445">
        <v>-16.53</v>
      </c>
      <c r="AB445">
        <v>-112.72</v>
      </c>
    </row>
    <row r="446" spans="1:28" hidden="1" x14ac:dyDescent="0.2">
      <c r="A446" t="s">
        <v>1023</v>
      </c>
      <c r="B446" t="s">
        <v>1024</v>
      </c>
      <c r="F446">
        <v>70</v>
      </c>
      <c r="H446">
        <v>0</v>
      </c>
      <c r="I446">
        <v>0</v>
      </c>
      <c r="J446" t="s">
        <v>53</v>
      </c>
      <c r="K446" s="1">
        <v>43316</v>
      </c>
      <c r="L446" t="s">
        <v>95</v>
      </c>
      <c r="M446" t="s">
        <v>232</v>
      </c>
      <c r="N446" s="1">
        <v>44197</v>
      </c>
      <c r="O446">
        <v>-116</v>
      </c>
      <c r="P446" t="s">
        <v>2403</v>
      </c>
      <c r="Q446" t="s">
        <v>32</v>
      </c>
      <c r="R446">
        <v>52.69</v>
      </c>
      <c r="S446">
        <v>1.1299999999999999</v>
      </c>
      <c r="T446">
        <v>25.14</v>
      </c>
      <c r="U446" t="s">
        <v>32</v>
      </c>
      <c r="V446" t="s">
        <v>32</v>
      </c>
      <c r="X446" t="s">
        <v>32</v>
      </c>
      <c r="Y446">
        <v>13.2</v>
      </c>
      <c r="Z446">
        <v>-6.99</v>
      </c>
      <c r="AA446">
        <v>-4.83</v>
      </c>
      <c r="AB446">
        <v>-7.81</v>
      </c>
    </row>
    <row r="447" spans="1:28" hidden="1" x14ac:dyDescent="0.2">
      <c r="A447" t="s">
        <v>1030</v>
      </c>
      <c r="B447" t="s">
        <v>1031</v>
      </c>
      <c r="F447">
        <v>53</v>
      </c>
      <c r="H447">
        <v>1</v>
      </c>
      <c r="I447">
        <v>0</v>
      </c>
      <c r="K447" s="1">
        <v>43316</v>
      </c>
      <c r="L447" t="s">
        <v>35</v>
      </c>
      <c r="M447" t="s">
        <v>210</v>
      </c>
      <c r="N447" s="1">
        <v>44193</v>
      </c>
      <c r="Q447">
        <v>2.17</v>
      </c>
      <c r="R447">
        <v>13.59</v>
      </c>
      <c r="S447">
        <v>1.21</v>
      </c>
      <c r="T447">
        <v>8.4700000000000006</v>
      </c>
      <c r="U447">
        <v>5.41</v>
      </c>
      <c r="V447">
        <v>5.62</v>
      </c>
      <c r="Y447">
        <v>2</v>
      </c>
      <c r="Z447">
        <v>16.04</v>
      </c>
      <c r="AA447">
        <v>0.59</v>
      </c>
      <c r="AB447">
        <v>7.74</v>
      </c>
    </row>
    <row r="448" spans="1:28" hidden="1" x14ac:dyDescent="0.2">
      <c r="A448" t="s">
        <v>1032</v>
      </c>
      <c r="B448" t="s">
        <v>1033</v>
      </c>
      <c r="N448" s="1">
        <v>44193</v>
      </c>
      <c r="O448">
        <v>6371</v>
      </c>
      <c r="Q448">
        <v>5.51</v>
      </c>
      <c r="R448">
        <v>-18.62</v>
      </c>
      <c r="S448">
        <v>6.42</v>
      </c>
      <c r="T448">
        <v>2.84</v>
      </c>
      <c r="U448">
        <v>4.22</v>
      </c>
      <c r="V448">
        <v>2.02</v>
      </c>
      <c r="X448">
        <v>4871</v>
      </c>
      <c r="Y448">
        <v>10.8</v>
      </c>
      <c r="Z448">
        <v>18.600000000000001</v>
      </c>
      <c r="AA448">
        <v>7.76</v>
      </c>
      <c r="AB448">
        <v>48.9</v>
      </c>
    </row>
    <row r="449" spans="1:28" hidden="1" x14ac:dyDescent="0.2">
      <c r="A449" t="s">
        <v>1034</v>
      </c>
      <c r="B449" t="s">
        <v>1035</v>
      </c>
      <c r="F449">
        <v>50</v>
      </c>
      <c r="H449">
        <v>1</v>
      </c>
      <c r="I449">
        <v>0</v>
      </c>
      <c r="K449" s="1">
        <v>43316</v>
      </c>
      <c r="L449" t="s">
        <v>43</v>
      </c>
      <c r="M449" t="s">
        <v>1036</v>
      </c>
      <c r="N449" s="1">
        <v>44193</v>
      </c>
      <c r="Q449">
        <v>3.07</v>
      </c>
      <c r="R449">
        <v>-29.96</v>
      </c>
      <c r="S449">
        <v>-29.04</v>
      </c>
      <c r="T449">
        <v>-17.559999999999999</v>
      </c>
      <c r="U449">
        <v>0.96</v>
      </c>
      <c r="V449">
        <v>-2.1</v>
      </c>
      <c r="Y449">
        <v>0</v>
      </c>
      <c r="Z449">
        <v>-13.81</v>
      </c>
      <c r="AA449">
        <v>-9.91</v>
      </c>
      <c r="AB449">
        <v>-44.42</v>
      </c>
    </row>
    <row r="450" spans="1:28" hidden="1" x14ac:dyDescent="0.2">
      <c r="A450" t="s">
        <v>1824</v>
      </c>
      <c r="B450" t="s">
        <v>1825</v>
      </c>
      <c r="H450">
        <v>1</v>
      </c>
      <c r="I450">
        <v>0</v>
      </c>
      <c r="J450" t="s">
        <v>53</v>
      </c>
      <c r="K450" s="1">
        <v>43316</v>
      </c>
      <c r="L450" t="s">
        <v>39</v>
      </c>
      <c r="M450" t="s">
        <v>197</v>
      </c>
      <c r="N450" s="1">
        <v>44193</v>
      </c>
      <c r="Q450">
        <v>0.48</v>
      </c>
      <c r="R450">
        <v>19.510000000000002</v>
      </c>
      <c r="S450">
        <v>17.93</v>
      </c>
      <c r="T450">
        <v>17.670000000000002</v>
      </c>
      <c r="U450">
        <v>18.850000000000001</v>
      </c>
      <c r="V450">
        <v>17.29</v>
      </c>
      <c r="Y450">
        <v>2.2000000000000002</v>
      </c>
      <c r="Z450">
        <v>28.89</v>
      </c>
      <c r="AA450">
        <v>7.55</v>
      </c>
      <c r="AB450">
        <v>16.71</v>
      </c>
    </row>
    <row r="451" spans="1:28" hidden="1" x14ac:dyDescent="0.2">
      <c r="A451" t="s">
        <v>1041</v>
      </c>
      <c r="B451" t="s">
        <v>1042</v>
      </c>
      <c r="F451">
        <v>68</v>
      </c>
      <c r="H451">
        <v>1</v>
      </c>
      <c r="I451">
        <v>0</v>
      </c>
      <c r="K451" s="1">
        <v>43316</v>
      </c>
      <c r="L451" t="s">
        <v>43</v>
      </c>
      <c r="M451" t="s">
        <v>1043</v>
      </c>
      <c r="N451" s="1">
        <v>44193</v>
      </c>
      <c r="Q451">
        <v>0.54</v>
      </c>
      <c r="R451">
        <v>-18.63</v>
      </c>
      <c r="S451">
        <v>0.64</v>
      </c>
      <c r="T451">
        <v>9.06</v>
      </c>
      <c r="U451">
        <v>5.03</v>
      </c>
      <c r="V451" t="s">
        <v>32</v>
      </c>
      <c r="Y451">
        <v>0</v>
      </c>
      <c r="Z451">
        <v>-6.14</v>
      </c>
      <c r="AA451">
        <v>-2.06</v>
      </c>
      <c r="AB451">
        <v>-5.04</v>
      </c>
    </row>
    <row r="452" spans="1:28" hidden="1" x14ac:dyDescent="0.2">
      <c r="A452" t="s">
        <v>1044</v>
      </c>
      <c r="B452" t="s">
        <v>1045</v>
      </c>
      <c r="F452">
        <v>46</v>
      </c>
      <c r="H452">
        <v>1</v>
      </c>
      <c r="I452">
        <v>0</v>
      </c>
      <c r="K452" s="1">
        <v>43316</v>
      </c>
      <c r="L452" t="s">
        <v>226</v>
      </c>
      <c r="M452" t="s">
        <v>366</v>
      </c>
      <c r="N452" s="1">
        <v>44193</v>
      </c>
      <c r="Q452">
        <v>2.71</v>
      </c>
      <c r="R452">
        <v>-21.46</v>
      </c>
      <c r="S452">
        <v>-24.13</v>
      </c>
      <c r="T452">
        <v>-8.61</v>
      </c>
      <c r="U452">
        <v>-4.67</v>
      </c>
      <c r="V452">
        <v>-1.18</v>
      </c>
      <c r="Y452">
        <v>2.5</v>
      </c>
      <c r="Z452">
        <v>-26.61</v>
      </c>
      <c r="AA452">
        <v>-18.309999999999999</v>
      </c>
      <c r="AB452">
        <v>-58.39</v>
      </c>
    </row>
    <row r="453" spans="1:28" hidden="1" x14ac:dyDescent="0.2">
      <c r="A453" t="s">
        <v>1046</v>
      </c>
      <c r="B453" t="s">
        <v>1047</v>
      </c>
      <c r="F453">
        <v>68</v>
      </c>
      <c r="H453">
        <v>0</v>
      </c>
      <c r="I453">
        <v>0</v>
      </c>
      <c r="K453" s="1">
        <v>43316</v>
      </c>
      <c r="L453" t="s">
        <v>43</v>
      </c>
      <c r="M453" t="s">
        <v>507</v>
      </c>
      <c r="N453" s="1">
        <v>44193</v>
      </c>
      <c r="O453">
        <v>385</v>
      </c>
      <c r="Q453">
        <v>2.92</v>
      </c>
      <c r="R453">
        <v>-8.7799999999999994</v>
      </c>
      <c r="S453">
        <v>2.59</v>
      </c>
      <c r="T453">
        <v>9.24</v>
      </c>
      <c r="U453">
        <v>8.8000000000000007</v>
      </c>
      <c r="V453">
        <v>12.32</v>
      </c>
      <c r="X453">
        <v>248</v>
      </c>
      <c r="Y453">
        <v>2.8</v>
      </c>
      <c r="Z453">
        <v>7.44</v>
      </c>
      <c r="AA453">
        <v>4.7300000000000004</v>
      </c>
      <c r="AB453">
        <v>16.670000000000002</v>
      </c>
    </row>
    <row r="454" spans="1:28" hidden="1" x14ac:dyDescent="0.2">
      <c r="A454" t="s">
        <v>1048</v>
      </c>
      <c r="B454" t="s">
        <v>1049</v>
      </c>
      <c r="F454">
        <v>52</v>
      </c>
      <c r="H454">
        <v>1</v>
      </c>
      <c r="I454">
        <v>0</v>
      </c>
      <c r="K454" s="1">
        <v>43316</v>
      </c>
      <c r="L454" t="s">
        <v>35</v>
      </c>
      <c r="M454" t="s">
        <v>235</v>
      </c>
      <c r="N454" s="1">
        <v>44193</v>
      </c>
      <c r="Q454">
        <v>4.97</v>
      </c>
      <c r="R454">
        <v>-14.52</v>
      </c>
      <c r="S454">
        <v>-1.72</v>
      </c>
      <c r="T454">
        <v>5.53</v>
      </c>
      <c r="U454">
        <v>8.52</v>
      </c>
      <c r="V454">
        <v>-1.82</v>
      </c>
      <c r="Y454">
        <v>4</v>
      </c>
      <c r="Z454">
        <v>15.51</v>
      </c>
      <c r="AA454">
        <v>0.64</v>
      </c>
      <c r="AB454">
        <v>6.85</v>
      </c>
    </row>
    <row r="455" spans="1:28" hidden="1" x14ac:dyDescent="0.2">
      <c r="A455" t="s">
        <v>1050</v>
      </c>
      <c r="B455" t="s">
        <v>1051</v>
      </c>
      <c r="F455">
        <v>37</v>
      </c>
      <c r="H455">
        <v>1</v>
      </c>
      <c r="I455">
        <v>0</v>
      </c>
      <c r="K455" s="1">
        <v>43316</v>
      </c>
      <c r="L455" t="s">
        <v>43</v>
      </c>
      <c r="M455" t="s">
        <v>85</v>
      </c>
      <c r="N455" s="1">
        <v>44193</v>
      </c>
      <c r="Q455">
        <v>4.2300000000000004</v>
      </c>
      <c r="R455">
        <v>3.26</v>
      </c>
      <c r="S455">
        <v>-7.05</v>
      </c>
      <c r="T455">
        <v>-9.66</v>
      </c>
      <c r="U455">
        <v>11.17</v>
      </c>
      <c r="V455" t="s">
        <v>32</v>
      </c>
      <c r="Y455">
        <v>2.1</v>
      </c>
      <c r="Z455">
        <v>6.68</v>
      </c>
      <c r="AA455">
        <v>5.54</v>
      </c>
      <c r="AB455">
        <v>37.11</v>
      </c>
    </row>
    <row r="456" spans="1:28" hidden="1" x14ac:dyDescent="0.2">
      <c r="A456" t="s">
        <v>314</v>
      </c>
      <c r="B456" t="s">
        <v>315</v>
      </c>
      <c r="N456" s="1">
        <v>44194</v>
      </c>
      <c r="R456">
        <v>21.76</v>
      </c>
      <c r="S456">
        <v>68.98</v>
      </c>
      <c r="T456" t="s">
        <v>32</v>
      </c>
      <c r="U456" t="s">
        <v>32</v>
      </c>
      <c r="V456" t="s">
        <v>32</v>
      </c>
      <c r="Y456">
        <v>0</v>
      </c>
      <c r="Z456">
        <v>-3.2</v>
      </c>
      <c r="AA456">
        <v>-1.21</v>
      </c>
      <c r="AB456">
        <v>-3.82</v>
      </c>
    </row>
    <row r="457" spans="1:28" hidden="1" x14ac:dyDescent="0.2">
      <c r="A457" s="4" t="s">
        <v>2082</v>
      </c>
      <c r="B457" t="s">
        <v>2083</v>
      </c>
      <c r="E457" t="s">
        <v>2410</v>
      </c>
      <c r="F457">
        <v>69</v>
      </c>
      <c r="G457">
        <v>3.9</v>
      </c>
      <c r="J457" t="s">
        <v>80</v>
      </c>
      <c r="N457" s="1">
        <v>44197</v>
      </c>
      <c r="O457">
        <v>48</v>
      </c>
      <c r="P457" t="s">
        <v>2403</v>
      </c>
      <c r="Q457" t="s">
        <v>32</v>
      </c>
      <c r="R457">
        <v>434.23</v>
      </c>
      <c r="S457" t="s">
        <v>32</v>
      </c>
      <c r="T457" t="s">
        <v>32</v>
      </c>
      <c r="U457" t="s">
        <v>32</v>
      </c>
      <c r="V457" t="s">
        <v>32</v>
      </c>
      <c r="X457">
        <v>108</v>
      </c>
      <c r="Y457">
        <v>0</v>
      </c>
      <c r="Z457">
        <v>2.02</v>
      </c>
      <c r="AA457">
        <v>1.62</v>
      </c>
      <c r="AB457">
        <v>2.81</v>
      </c>
    </row>
    <row r="458" spans="1:28" hidden="1" x14ac:dyDescent="0.2">
      <c r="A458" t="s">
        <v>949</v>
      </c>
      <c r="B458" t="s">
        <v>950</v>
      </c>
      <c r="N458" s="1">
        <v>44192</v>
      </c>
      <c r="Q458">
        <v>6.32</v>
      </c>
      <c r="R458">
        <v>24.1</v>
      </c>
      <c r="S458">
        <v>10.73</v>
      </c>
      <c r="T458">
        <v>21.96</v>
      </c>
      <c r="U458" t="s">
        <v>32</v>
      </c>
      <c r="V458" t="s">
        <v>32</v>
      </c>
      <c r="Y458">
        <v>0</v>
      </c>
      <c r="Z458">
        <v>30.77</v>
      </c>
      <c r="AA458">
        <v>4.2699999999999996</v>
      </c>
      <c r="AB458">
        <v>12.45</v>
      </c>
    </row>
    <row r="459" spans="1:28" hidden="1" x14ac:dyDescent="0.2">
      <c r="A459" t="s">
        <v>674</v>
      </c>
      <c r="B459" t="s">
        <v>675</v>
      </c>
      <c r="H459">
        <v>1</v>
      </c>
      <c r="I459">
        <v>0</v>
      </c>
      <c r="K459" s="1">
        <v>43316</v>
      </c>
      <c r="L459" t="s">
        <v>43</v>
      </c>
      <c r="M459" t="s">
        <v>676</v>
      </c>
      <c r="N459" s="1">
        <v>44194</v>
      </c>
      <c r="R459">
        <v>24.48</v>
      </c>
      <c r="S459">
        <v>30.68</v>
      </c>
      <c r="T459">
        <v>45.66</v>
      </c>
      <c r="U459" t="s">
        <v>32</v>
      </c>
      <c r="V459" t="s">
        <v>32</v>
      </c>
      <c r="Y459">
        <v>0</v>
      </c>
      <c r="Z459">
        <v>-47.29</v>
      </c>
      <c r="AA459">
        <v>-5.74</v>
      </c>
      <c r="AB459">
        <v>-54.04</v>
      </c>
    </row>
    <row r="460" spans="1:28" hidden="1" x14ac:dyDescent="0.2">
      <c r="A460" s="4" t="s">
        <v>2242</v>
      </c>
      <c r="B460" s="4" t="s">
        <v>2243</v>
      </c>
      <c r="C460" s="4"/>
      <c r="D460" s="4"/>
      <c r="E460" s="4"/>
      <c r="F460" s="4">
        <v>74</v>
      </c>
      <c r="G460" s="4">
        <v>3.9</v>
      </c>
      <c r="H460" s="4">
        <v>1</v>
      </c>
      <c r="I460" s="4">
        <v>0</v>
      </c>
      <c r="J460" s="4" t="s">
        <v>53</v>
      </c>
      <c r="K460" s="1">
        <v>44198</v>
      </c>
      <c r="L460" s="4" t="s">
        <v>39</v>
      </c>
      <c r="M460" s="4" t="s">
        <v>329</v>
      </c>
      <c r="N460" s="1">
        <v>44193</v>
      </c>
      <c r="O460" s="4"/>
      <c r="P460" s="4"/>
      <c r="Q460" s="4">
        <v>0.53</v>
      </c>
      <c r="R460" s="7">
        <v>40.71</v>
      </c>
      <c r="S460" s="7">
        <v>29.62</v>
      </c>
      <c r="T460" s="7">
        <v>22.17</v>
      </c>
      <c r="U460" s="7">
        <v>19.86</v>
      </c>
      <c r="V460" s="4" t="s">
        <v>32</v>
      </c>
      <c r="W460" s="4"/>
      <c r="X460" s="4"/>
      <c r="Y460">
        <v>0</v>
      </c>
      <c r="Z460">
        <v>24.33</v>
      </c>
      <c r="AA460">
        <v>9.9</v>
      </c>
      <c r="AB460">
        <v>29.82</v>
      </c>
    </row>
    <row r="461" spans="1:28" hidden="1" x14ac:dyDescent="0.2">
      <c r="A461" t="s">
        <v>905</v>
      </c>
      <c r="B461" t="s">
        <v>906</v>
      </c>
      <c r="F461">
        <v>40</v>
      </c>
      <c r="H461">
        <v>1</v>
      </c>
      <c r="I461">
        <v>0</v>
      </c>
      <c r="J461" t="s">
        <v>68</v>
      </c>
      <c r="K461" s="1">
        <v>43316</v>
      </c>
      <c r="L461" t="s">
        <v>39</v>
      </c>
      <c r="M461" t="s">
        <v>900</v>
      </c>
      <c r="N461" s="1">
        <v>44193</v>
      </c>
      <c r="R461">
        <v>38.590000000000003</v>
      </c>
      <c r="S461">
        <v>12.46</v>
      </c>
      <c r="T461">
        <v>13.01</v>
      </c>
      <c r="U461" t="s">
        <v>32</v>
      </c>
      <c r="V461" t="s">
        <v>32</v>
      </c>
      <c r="Y461">
        <v>10.4</v>
      </c>
      <c r="Z461">
        <v>31.55</v>
      </c>
      <c r="AA461">
        <v>37.229999999999997</v>
      </c>
      <c r="AB461">
        <v>88.29</v>
      </c>
    </row>
    <row r="462" spans="1:28" hidden="1" x14ac:dyDescent="0.2">
      <c r="A462" t="s">
        <v>1062</v>
      </c>
      <c r="B462" t="s">
        <v>1063</v>
      </c>
      <c r="F462">
        <v>28</v>
      </c>
      <c r="H462">
        <v>1</v>
      </c>
      <c r="I462">
        <v>0</v>
      </c>
      <c r="K462" s="1">
        <v>43316</v>
      </c>
      <c r="L462" t="s">
        <v>226</v>
      </c>
      <c r="M462" t="s">
        <v>243</v>
      </c>
      <c r="N462" s="1">
        <v>44193</v>
      </c>
      <c r="Q462">
        <v>2.12</v>
      </c>
      <c r="R462">
        <v>-18.89</v>
      </c>
      <c r="S462">
        <v>6.35</v>
      </c>
      <c r="T462">
        <v>2.97</v>
      </c>
      <c r="U462">
        <v>-1.99</v>
      </c>
      <c r="V462">
        <v>2.74</v>
      </c>
      <c r="Y462">
        <v>0</v>
      </c>
      <c r="Z462">
        <v>-63.99</v>
      </c>
      <c r="AA462">
        <v>-15.85</v>
      </c>
      <c r="AB462">
        <v>-43.42</v>
      </c>
    </row>
    <row r="463" spans="1:28" hidden="1" x14ac:dyDescent="0.2">
      <c r="A463" t="s">
        <v>1064</v>
      </c>
      <c r="B463" t="s">
        <v>1065</v>
      </c>
      <c r="F463">
        <v>38</v>
      </c>
      <c r="H463">
        <v>1</v>
      </c>
      <c r="I463">
        <v>0</v>
      </c>
      <c r="K463" s="1">
        <v>43316</v>
      </c>
      <c r="L463" t="s">
        <v>226</v>
      </c>
      <c r="M463" t="s">
        <v>227</v>
      </c>
      <c r="N463" s="1">
        <v>44193</v>
      </c>
      <c r="R463">
        <v>-48.18</v>
      </c>
      <c r="S463">
        <v>-16.559999999999999</v>
      </c>
      <c r="T463">
        <v>-5.12</v>
      </c>
      <c r="U463">
        <v>8.3000000000000007</v>
      </c>
      <c r="V463">
        <v>7.72</v>
      </c>
      <c r="Y463">
        <v>34.799999999999997</v>
      </c>
      <c r="Z463">
        <v>-3.34</v>
      </c>
      <c r="AA463">
        <v>-3.56</v>
      </c>
      <c r="AB463">
        <v>-7.45</v>
      </c>
    </row>
    <row r="464" spans="1:28" hidden="1" x14ac:dyDescent="0.2">
      <c r="A464" t="s">
        <v>1066</v>
      </c>
      <c r="B464" t="s">
        <v>1067</v>
      </c>
      <c r="F464">
        <v>20</v>
      </c>
      <c r="H464">
        <v>1</v>
      </c>
      <c r="I464">
        <v>0</v>
      </c>
      <c r="K464" s="1">
        <v>43316</v>
      </c>
      <c r="N464" s="1">
        <v>44193</v>
      </c>
      <c r="R464">
        <v>145.83000000000001</v>
      </c>
      <c r="S464">
        <v>18.73</v>
      </c>
      <c r="T464">
        <v>12.12</v>
      </c>
      <c r="U464">
        <v>-5.67</v>
      </c>
      <c r="V464" t="s">
        <v>32</v>
      </c>
      <c r="Y464">
        <v>0</v>
      </c>
      <c r="Z464">
        <v>-0.01</v>
      </c>
      <c r="AA464">
        <v>-0.02</v>
      </c>
      <c r="AB464">
        <v>-0.04</v>
      </c>
    </row>
    <row r="465" spans="1:28" hidden="1" x14ac:dyDescent="0.2">
      <c r="A465" t="s">
        <v>1068</v>
      </c>
      <c r="B465" t="s">
        <v>1069</v>
      </c>
      <c r="L465" t="s">
        <v>39</v>
      </c>
      <c r="M465" t="s">
        <v>197</v>
      </c>
      <c r="N465" s="1">
        <v>44193</v>
      </c>
      <c r="Q465">
        <v>2.27</v>
      </c>
      <c r="R465">
        <v>19.559999999999999</v>
      </c>
      <c r="S465">
        <v>-2.83</v>
      </c>
      <c r="T465">
        <v>7.57</v>
      </c>
      <c r="U465">
        <v>8.51</v>
      </c>
      <c r="V465" t="s">
        <v>32</v>
      </c>
      <c r="Y465">
        <v>1</v>
      </c>
      <c r="Z465">
        <v>-2.39</v>
      </c>
      <c r="AA465">
        <v>-1.93</v>
      </c>
      <c r="AB465">
        <v>-6.63</v>
      </c>
    </row>
    <row r="466" spans="1:28" hidden="1" x14ac:dyDescent="0.2">
      <c r="A466" t="s">
        <v>1070</v>
      </c>
      <c r="B466" t="s">
        <v>1071</v>
      </c>
      <c r="F466">
        <v>60</v>
      </c>
      <c r="H466">
        <v>1</v>
      </c>
      <c r="I466">
        <v>0</v>
      </c>
      <c r="K466" s="1">
        <v>43316</v>
      </c>
      <c r="L466" t="s">
        <v>35</v>
      </c>
      <c r="M466" t="s">
        <v>144</v>
      </c>
      <c r="N466" s="1">
        <v>44193</v>
      </c>
      <c r="Q466">
        <v>2.94</v>
      </c>
      <c r="R466">
        <v>-17.23</v>
      </c>
      <c r="S466">
        <v>-2.17</v>
      </c>
      <c r="T466">
        <v>4.2699999999999996</v>
      </c>
      <c r="U466">
        <v>7.79</v>
      </c>
      <c r="V466">
        <v>-2.12</v>
      </c>
      <c r="Y466">
        <v>0</v>
      </c>
      <c r="Z466">
        <v>8.4</v>
      </c>
      <c r="AA466">
        <v>2.42</v>
      </c>
      <c r="AB466">
        <v>10.4</v>
      </c>
    </row>
    <row r="467" spans="1:28" hidden="1" x14ac:dyDescent="0.2">
      <c r="A467" t="s">
        <v>1072</v>
      </c>
      <c r="B467" t="s">
        <v>1073</v>
      </c>
      <c r="F467">
        <v>64</v>
      </c>
      <c r="H467">
        <v>1</v>
      </c>
      <c r="I467">
        <v>0</v>
      </c>
      <c r="K467" s="1">
        <v>43316</v>
      </c>
      <c r="L467" t="s">
        <v>39</v>
      </c>
      <c r="M467" t="s">
        <v>60</v>
      </c>
      <c r="N467" s="1">
        <v>44193</v>
      </c>
      <c r="Q467">
        <v>2.64</v>
      </c>
      <c r="R467">
        <v>-33.21</v>
      </c>
      <c r="S467">
        <v>-9.4499999999999993</v>
      </c>
      <c r="T467">
        <v>6.92</v>
      </c>
      <c r="U467" t="s">
        <v>32</v>
      </c>
      <c r="V467" t="s">
        <v>32</v>
      </c>
      <c r="Y467">
        <v>1.2</v>
      </c>
      <c r="Z467">
        <v>6.61</v>
      </c>
      <c r="AA467">
        <v>7.63</v>
      </c>
      <c r="AB467">
        <v>33.25</v>
      </c>
    </row>
    <row r="468" spans="1:28" hidden="1" x14ac:dyDescent="0.2">
      <c r="A468" s="2" t="s">
        <v>668</v>
      </c>
      <c r="B468" t="s">
        <v>669</v>
      </c>
      <c r="F468">
        <v>90</v>
      </c>
      <c r="G468">
        <v>4.4000000000000004</v>
      </c>
      <c r="J468" t="s">
        <v>68</v>
      </c>
      <c r="N468" s="1">
        <v>44194</v>
      </c>
      <c r="O468">
        <v>3</v>
      </c>
      <c r="R468" s="6">
        <v>38.61</v>
      </c>
      <c r="S468">
        <v>57.78</v>
      </c>
      <c r="T468" s="6">
        <v>29.19</v>
      </c>
      <c r="U468" t="s">
        <v>32</v>
      </c>
      <c r="V468" t="s">
        <v>32</v>
      </c>
      <c r="X468">
        <v>90</v>
      </c>
      <c r="Y468">
        <v>4.5999999999999996</v>
      </c>
      <c r="Z468">
        <v>0.65</v>
      </c>
      <c r="AA468">
        <v>0.25</v>
      </c>
      <c r="AB468">
        <v>0.47</v>
      </c>
    </row>
    <row r="469" spans="1:28" hidden="1" x14ac:dyDescent="0.2">
      <c r="A469" t="s">
        <v>1187</v>
      </c>
      <c r="B469" t="s">
        <v>1188</v>
      </c>
      <c r="L469" t="s">
        <v>99</v>
      </c>
      <c r="M469" t="s">
        <v>457</v>
      </c>
      <c r="N469" s="1">
        <v>44197</v>
      </c>
      <c r="O469">
        <v>356</v>
      </c>
      <c r="P469" t="s">
        <v>2403</v>
      </c>
      <c r="Q469" t="s">
        <v>32</v>
      </c>
      <c r="R469">
        <v>0.8</v>
      </c>
      <c r="S469">
        <v>12.37</v>
      </c>
      <c r="T469">
        <v>12.38</v>
      </c>
      <c r="U469">
        <v>11.28</v>
      </c>
      <c r="V469">
        <v>12.95</v>
      </c>
      <c r="X469" t="s">
        <v>32</v>
      </c>
      <c r="Y469">
        <v>0</v>
      </c>
      <c r="Z469" t="s">
        <v>2403</v>
      </c>
      <c r="AA469" t="s">
        <v>2403</v>
      </c>
      <c r="AB469" t="s">
        <v>2403</v>
      </c>
    </row>
    <row r="470" spans="1:28" hidden="1" x14ac:dyDescent="0.2">
      <c r="A470" t="s">
        <v>1078</v>
      </c>
      <c r="B470" t="s">
        <v>1079</v>
      </c>
      <c r="F470">
        <v>71</v>
      </c>
      <c r="H470">
        <v>0</v>
      </c>
      <c r="I470">
        <v>0</v>
      </c>
      <c r="J470" t="s">
        <v>68</v>
      </c>
      <c r="K470" s="1">
        <v>43316</v>
      </c>
      <c r="L470" t="s">
        <v>43</v>
      </c>
      <c r="M470" t="s">
        <v>1043</v>
      </c>
      <c r="N470" s="1">
        <v>44193</v>
      </c>
      <c r="Q470">
        <v>0.28999999999999998</v>
      </c>
      <c r="R470">
        <v>-3.89</v>
      </c>
      <c r="S470">
        <v>10.9</v>
      </c>
      <c r="T470">
        <v>15.33</v>
      </c>
      <c r="U470" t="s">
        <v>32</v>
      </c>
      <c r="V470" t="s">
        <v>32</v>
      </c>
      <c r="Y470">
        <v>3.7</v>
      </c>
    </row>
    <row r="471" spans="1:28" hidden="1" x14ac:dyDescent="0.2">
      <c r="A471" t="s">
        <v>1804</v>
      </c>
      <c r="B471" t="s">
        <v>1805</v>
      </c>
      <c r="N471" s="1">
        <v>44197</v>
      </c>
      <c r="O471">
        <v>321</v>
      </c>
      <c r="P471" t="s">
        <v>2403</v>
      </c>
      <c r="Q471" t="s">
        <v>32</v>
      </c>
      <c r="R471">
        <v>-1.41</v>
      </c>
      <c r="S471" t="s">
        <v>32</v>
      </c>
      <c r="T471" t="s">
        <v>32</v>
      </c>
      <c r="U471" t="s">
        <v>32</v>
      </c>
      <c r="V471" t="s">
        <v>32</v>
      </c>
      <c r="X471">
        <v>549</v>
      </c>
      <c r="Y471">
        <v>0</v>
      </c>
      <c r="Z471">
        <v>4.88</v>
      </c>
      <c r="AA471">
        <v>5.72</v>
      </c>
      <c r="AB471">
        <v>12.92</v>
      </c>
    </row>
    <row r="472" spans="1:28" hidden="1" x14ac:dyDescent="0.2">
      <c r="A472" t="s">
        <v>1083</v>
      </c>
      <c r="B472" t="s">
        <v>1084</v>
      </c>
      <c r="N472" s="1">
        <v>44193</v>
      </c>
      <c r="Q472">
        <v>13.21</v>
      </c>
      <c r="R472">
        <v>3.75</v>
      </c>
      <c r="S472">
        <v>2.54</v>
      </c>
      <c r="T472">
        <v>7.59</v>
      </c>
      <c r="U472" t="s">
        <v>32</v>
      </c>
      <c r="V472" t="s">
        <v>32</v>
      </c>
      <c r="Y472">
        <v>0</v>
      </c>
      <c r="Z472">
        <v>33.479999999999997</v>
      </c>
      <c r="AA472">
        <v>4.8899999999999997</v>
      </c>
      <c r="AB472">
        <v>10</v>
      </c>
    </row>
    <row r="473" spans="1:28" hidden="1" x14ac:dyDescent="0.2">
      <c r="A473" t="s">
        <v>1085</v>
      </c>
      <c r="B473" t="s">
        <v>1086</v>
      </c>
      <c r="F473">
        <v>26</v>
      </c>
      <c r="H473">
        <v>1</v>
      </c>
      <c r="I473">
        <v>0</v>
      </c>
      <c r="K473" s="1">
        <v>43316</v>
      </c>
      <c r="L473" t="s">
        <v>43</v>
      </c>
      <c r="M473" t="s">
        <v>1087</v>
      </c>
      <c r="N473" s="1">
        <v>44193</v>
      </c>
      <c r="Q473">
        <v>1.97</v>
      </c>
      <c r="R473">
        <v>-0.9</v>
      </c>
      <c r="S473">
        <v>-7.88</v>
      </c>
      <c r="T473">
        <v>-1.23</v>
      </c>
      <c r="U473">
        <v>3.25</v>
      </c>
      <c r="V473">
        <v>-0.03</v>
      </c>
      <c r="Y473">
        <v>12.3</v>
      </c>
      <c r="Z473">
        <v>2.5299999999999998</v>
      </c>
      <c r="AA473">
        <v>0.96</v>
      </c>
      <c r="AB473">
        <v>6.17</v>
      </c>
    </row>
    <row r="474" spans="1:28" hidden="1" x14ac:dyDescent="0.2">
      <c r="A474" t="s">
        <v>1172</v>
      </c>
      <c r="B474" t="s">
        <v>1173</v>
      </c>
      <c r="F474">
        <v>62</v>
      </c>
      <c r="H474">
        <v>1</v>
      </c>
      <c r="I474">
        <v>0</v>
      </c>
      <c r="J474" t="s">
        <v>53</v>
      </c>
      <c r="K474" s="1">
        <v>43316</v>
      </c>
      <c r="L474" t="s">
        <v>26</v>
      </c>
      <c r="M474" t="s">
        <v>332</v>
      </c>
      <c r="N474" s="1">
        <v>44197</v>
      </c>
      <c r="O474">
        <v>1115</v>
      </c>
      <c r="P474" t="s">
        <v>2403</v>
      </c>
      <c r="Q474" t="s">
        <v>32</v>
      </c>
      <c r="R474">
        <v>39.49</v>
      </c>
      <c r="S474">
        <v>19.43</v>
      </c>
      <c r="T474">
        <v>13.49</v>
      </c>
      <c r="U474">
        <v>14.49</v>
      </c>
      <c r="V474">
        <v>9.39</v>
      </c>
      <c r="X474">
        <v>223</v>
      </c>
      <c r="Y474">
        <v>0.5</v>
      </c>
      <c r="Z474">
        <v>29.53</v>
      </c>
      <c r="AA474">
        <v>16.350000000000001</v>
      </c>
      <c r="AB474">
        <v>46.27</v>
      </c>
    </row>
    <row r="475" spans="1:28" hidden="1" x14ac:dyDescent="0.2">
      <c r="A475" t="s">
        <v>1709</v>
      </c>
      <c r="B475" t="s">
        <v>1710</v>
      </c>
      <c r="H475">
        <v>1</v>
      </c>
      <c r="I475">
        <v>0</v>
      </c>
      <c r="K475" s="1">
        <v>43316</v>
      </c>
      <c r="L475" t="s">
        <v>39</v>
      </c>
      <c r="M475" t="s">
        <v>197</v>
      </c>
      <c r="N475" s="1">
        <v>44193</v>
      </c>
      <c r="Q475">
        <v>1.32</v>
      </c>
      <c r="R475">
        <v>32.229999999999997</v>
      </c>
      <c r="S475">
        <v>11.92</v>
      </c>
      <c r="T475">
        <v>23.29</v>
      </c>
      <c r="U475">
        <v>13.17</v>
      </c>
      <c r="V475">
        <v>13.41</v>
      </c>
      <c r="Y475">
        <v>2.2999999999999998</v>
      </c>
      <c r="Z475">
        <v>8.75</v>
      </c>
      <c r="AA475">
        <v>6.04</v>
      </c>
      <c r="AB475">
        <v>18.829999999999998</v>
      </c>
    </row>
    <row r="476" spans="1:28" hidden="1" x14ac:dyDescent="0.2">
      <c r="A476" t="s">
        <v>1090</v>
      </c>
      <c r="B476" t="s">
        <v>1091</v>
      </c>
      <c r="L476" t="s">
        <v>226</v>
      </c>
      <c r="M476" t="s">
        <v>834</v>
      </c>
      <c r="N476" s="1">
        <v>44193</v>
      </c>
      <c r="R476">
        <v>-41.75</v>
      </c>
      <c r="S476">
        <v>-20.94</v>
      </c>
      <c r="T476">
        <v>-7.79</v>
      </c>
      <c r="U476">
        <v>-0.89</v>
      </c>
      <c r="V476">
        <v>2.52</v>
      </c>
      <c r="Y476">
        <v>0</v>
      </c>
      <c r="Z476">
        <v>-28.03</v>
      </c>
      <c r="AA476">
        <v>-9.32</v>
      </c>
      <c r="AB476">
        <v>-13.56</v>
      </c>
    </row>
    <row r="477" spans="1:28" hidden="1" x14ac:dyDescent="0.2">
      <c r="A477" t="s">
        <v>1092</v>
      </c>
      <c r="B477" t="s">
        <v>1093</v>
      </c>
      <c r="F477">
        <v>34</v>
      </c>
      <c r="H477">
        <v>1</v>
      </c>
      <c r="I477">
        <v>0</v>
      </c>
      <c r="K477" s="1">
        <v>43316</v>
      </c>
      <c r="L477" t="s">
        <v>95</v>
      </c>
      <c r="M477" t="s">
        <v>410</v>
      </c>
      <c r="N477" s="1">
        <v>44193</v>
      </c>
      <c r="Q477">
        <v>4.3499999999999996</v>
      </c>
      <c r="R477">
        <v>-23.12</v>
      </c>
      <c r="S477">
        <v>-3.77</v>
      </c>
      <c r="T477">
        <v>9.36</v>
      </c>
      <c r="U477" t="s">
        <v>32</v>
      </c>
      <c r="V477" t="s">
        <v>32</v>
      </c>
      <c r="Y477">
        <v>0.7</v>
      </c>
      <c r="Z477">
        <v>-1.19</v>
      </c>
      <c r="AA477">
        <v>-0.61</v>
      </c>
      <c r="AB477">
        <v>-1.94</v>
      </c>
    </row>
    <row r="478" spans="1:28" hidden="1" x14ac:dyDescent="0.2">
      <c r="A478" t="s">
        <v>1094</v>
      </c>
      <c r="B478" t="s">
        <v>1090</v>
      </c>
      <c r="F478">
        <v>70</v>
      </c>
      <c r="H478">
        <v>1</v>
      </c>
      <c r="I478">
        <v>0</v>
      </c>
      <c r="K478" s="1">
        <v>43316</v>
      </c>
      <c r="L478" t="s">
        <v>95</v>
      </c>
      <c r="M478" t="s">
        <v>427</v>
      </c>
      <c r="N478" s="1">
        <v>44193</v>
      </c>
      <c r="O478">
        <v>2844</v>
      </c>
      <c r="R478">
        <v>21.33</v>
      </c>
      <c r="S478">
        <v>7.24</v>
      </c>
      <c r="T478">
        <v>18.37</v>
      </c>
      <c r="U478">
        <v>0.34</v>
      </c>
      <c r="V478">
        <v>2.99</v>
      </c>
      <c r="X478">
        <v>1478</v>
      </c>
      <c r="Y478">
        <v>1.1000000000000001</v>
      </c>
    </row>
    <row r="479" spans="1:28" hidden="1" x14ac:dyDescent="0.2">
      <c r="A479" t="s">
        <v>1095</v>
      </c>
      <c r="B479" t="s">
        <v>1096</v>
      </c>
      <c r="F479">
        <v>44</v>
      </c>
      <c r="H479">
        <v>1</v>
      </c>
      <c r="I479">
        <v>0</v>
      </c>
      <c r="K479" s="1">
        <v>43316</v>
      </c>
      <c r="L479" t="s">
        <v>43</v>
      </c>
      <c r="M479" t="s">
        <v>1097</v>
      </c>
      <c r="N479" s="1">
        <v>44193</v>
      </c>
      <c r="Q479">
        <v>5.53</v>
      </c>
      <c r="R479">
        <v>-29.26</v>
      </c>
      <c r="S479">
        <v>-10.94</v>
      </c>
      <c r="T479">
        <v>-9.41</v>
      </c>
      <c r="U479">
        <v>6.66</v>
      </c>
      <c r="V479">
        <v>0.71</v>
      </c>
      <c r="Y479">
        <v>0.4</v>
      </c>
    </row>
    <row r="480" spans="1:28" hidden="1" x14ac:dyDescent="0.2">
      <c r="A480" t="s">
        <v>1098</v>
      </c>
      <c r="B480" t="s">
        <v>1099</v>
      </c>
      <c r="F480">
        <v>71</v>
      </c>
      <c r="H480">
        <v>1</v>
      </c>
      <c r="I480">
        <v>0</v>
      </c>
      <c r="K480" s="1">
        <v>43316</v>
      </c>
      <c r="L480" t="s">
        <v>99</v>
      </c>
      <c r="M480" t="s">
        <v>457</v>
      </c>
      <c r="N480" s="1">
        <v>44193</v>
      </c>
      <c r="Q480">
        <v>1.97</v>
      </c>
      <c r="R480">
        <v>6.06</v>
      </c>
      <c r="S480">
        <v>10.6</v>
      </c>
      <c r="T480">
        <v>5.01</v>
      </c>
      <c r="U480">
        <v>15.08</v>
      </c>
      <c r="V480">
        <v>13.35</v>
      </c>
      <c r="Y480">
        <v>5.3</v>
      </c>
      <c r="Z480">
        <v>9.4499999999999993</v>
      </c>
      <c r="AA480">
        <v>10.08</v>
      </c>
      <c r="AB480">
        <v>14.71</v>
      </c>
    </row>
    <row r="481" spans="1:28" hidden="1" x14ac:dyDescent="0.2">
      <c r="A481" t="s">
        <v>1100</v>
      </c>
      <c r="B481" t="s">
        <v>1101</v>
      </c>
      <c r="F481">
        <v>48</v>
      </c>
      <c r="H481">
        <v>1</v>
      </c>
      <c r="I481">
        <v>0</v>
      </c>
      <c r="K481" s="1">
        <v>43316</v>
      </c>
      <c r="L481" t="s">
        <v>95</v>
      </c>
      <c r="M481" t="s">
        <v>410</v>
      </c>
      <c r="N481" s="1">
        <v>44193</v>
      </c>
      <c r="R481">
        <v>-14.52</v>
      </c>
      <c r="S481">
        <v>9.81</v>
      </c>
      <c r="T481">
        <v>15.23</v>
      </c>
      <c r="U481">
        <v>17.079999999999998</v>
      </c>
      <c r="V481">
        <v>10.58</v>
      </c>
      <c r="Y481">
        <v>1.1000000000000001</v>
      </c>
      <c r="Z481">
        <v>10.37</v>
      </c>
      <c r="AA481">
        <v>5.53</v>
      </c>
      <c r="AB481">
        <v>10.25</v>
      </c>
    </row>
    <row r="482" spans="1:28" hidden="1" x14ac:dyDescent="0.2">
      <c r="A482" t="s">
        <v>1812</v>
      </c>
      <c r="B482" t="s">
        <v>1813</v>
      </c>
      <c r="N482" s="1">
        <v>44197</v>
      </c>
      <c r="O482">
        <v>19</v>
      </c>
      <c r="P482" t="s">
        <v>2403</v>
      </c>
      <c r="Q482" t="s">
        <v>32</v>
      </c>
      <c r="R482">
        <v>-21.86</v>
      </c>
      <c r="S482">
        <v>-1.21</v>
      </c>
      <c r="T482">
        <v>18</v>
      </c>
      <c r="U482">
        <v>-2.44</v>
      </c>
      <c r="V482">
        <v>-1.75</v>
      </c>
      <c r="X482">
        <v>4</v>
      </c>
      <c r="Y482">
        <v>2.2999999999999998</v>
      </c>
      <c r="Z482">
        <v>1.0900000000000001</v>
      </c>
      <c r="AA482">
        <v>0.7</v>
      </c>
      <c r="AB482">
        <v>2.7</v>
      </c>
    </row>
    <row r="483" spans="1:28" hidden="1" x14ac:dyDescent="0.2">
      <c r="A483" t="s">
        <v>1104</v>
      </c>
      <c r="B483" t="s">
        <v>1105</v>
      </c>
      <c r="F483">
        <v>56</v>
      </c>
      <c r="H483">
        <v>1</v>
      </c>
      <c r="I483">
        <v>0</v>
      </c>
      <c r="K483" s="1">
        <v>43316</v>
      </c>
      <c r="L483" t="s">
        <v>26</v>
      </c>
      <c r="M483" t="s">
        <v>57</v>
      </c>
      <c r="N483" s="1">
        <v>44193</v>
      </c>
      <c r="R483">
        <v>-1.05</v>
      </c>
      <c r="S483">
        <v>6.75</v>
      </c>
      <c r="T483">
        <v>1.92</v>
      </c>
      <c r="U483">
        <v>10.76</v>
      </c>
      <c r="V483">
        <v>9.6199999999999992</v>
      </c>
      <c r="Y483">
        <v>2.1</v>
      </c>
      <c r="Z483">
        <v>6.14</v>
      </c>
      <c r="AA483">
        <v>7.93</v>
      </c>
      <c r="AB483">
        <v>19.75</v>
      </c>
    </row>
    <row r="484" spans="1:28" hidden="1" x14ac:dyDescent="0.2">
      <c r="A484" t="s">
        <v>1106</v>
      </c>
      <c r="B484" t="s">
        <v>1107</v>
      </c>
      <c r="F484">
        <v>20</v>
      </c>
      <c r="H484">
        <v>1</v>
      </c>
      <c r="I484">
        <v>0</v>
      </c>
      <c r="K484" s="1">
        <v>43316</v>
      </c>
      <c r="L484" t="s">
        <v>71</v>
      </c>
      <c r="M484" t="s">
        <v>1108</v>
      </c>
      <c r="N484" s="1">
        <v>44193</v>
      </c>
      <c r="Q484">
        <v>2.85</v>
      </c>
      <c r="R484">
        <v>-21.74</v>
      </c>
      <c r="S484">
        <v>-6.71</v>
      </c>
      <c r="T484">
        <v>2.4500000000000002</v>
      </c>
      <c r="U484">
        <v>1.44</v>
      </c>
      <c r="V484">
        <v>1.4</v>
      </c>
      <c r="Y484">
        <v>0</v>
      </c>
      <c r="Z484">
        <v>-21.88</v>
      </c>
      <c r="AA484">
        <v>-4.49</v>
      </c>
      <c r="AB484">
        <v>-8.4600000000000009</v>
      </c>
    </row>
    <row r="485" spans="1:28" hidden="1" x14ac:dyDescent="0.2">
      <c r="A485" t="s">
        <v>1109</v>
      </c>
      <c r="B485" t="s">
        <v>1110</v>
      </c>
      <c r="F485">
        <v>45</v>
      </c>
      <c r="H485">
        <v>0</v>
      </c>
      <c r="I485">
        <v>0</v>
      </c>
      <c r="K485" s="1">
        <v>43316</v>
      </c>
      <c r="L485" t="s">
        <v>99</v>
      </c>
      <c r="M485" t="s">
        <v>1111</v>
      </c>
      <c r="N485" s="1">
        <v>44193</v>
      </c>
      <c r="Q485">
        <v>2.13</v>
      </c>
      <c r="R485">
        <v>4.8</v>
      </c>
      <c r="S485">
        <v>11.38</v>
      </c>
      <c r="T485">
        <v>12.64</v>
      </c>
      <c r="U485">
        <v>13.67</v>
      </c>
      <c r="V485">
        <v>8.0299999999999994</v>
      </c>
      <c r="Y485">
        <v>4.3</v>
      </c>
      <c r="Z485">
        <v>14.87</v>
      </c>
      <c r="AA485">
        <v>13.48</v>
      </c>
      <c r="AB485">
        <v>62.56</v>
      </c>
    </row>
    <row r="486" spans="1:28" hidden="1" x14ac:dyDescent="0.2">
      <c r="A486" t="s">
        <v>1112</v>
      </c>
      <c r="B486" t="s">
        <v>1113</v>
      </c>
      <c r="N486" s="1">
        <v>44193</v>
      </c>
      <c r="R486">
        <v>-5.01</v>
      </c>
      <c r="S486">
        <v>1.8</v>
      </c>
      <c r="T486">
        <v>8.56</v>
      </c>
      <c r="U486">
        <v>6.07</v>
      </c>
      <c r="V486">
        <v>1.93</v>
      </c>
      <c r="Y486">
        <v>0</v>
      </c>
      <c r="Z486">
        <v>1.79</v>
      </c>
      <c r="AA486">
        <v>1.47</v>
      </c>
      <c r="AB486">
        <v>4.76</v>
      </c>
    </row>
    <row r="487" spans="1:28" hidden="1" x14ac:dyDescent="0.2">
      <c r="A487" t="s">
        <v>1114</v>
      </c>
      <c r="B487" t="s">
        <v>1115</v>
      </c>
      <c r="L487" t="s">
        <v>39</v>
      </c>
      <c r="M487" t="s">
        <v>478</v>
      </c>
      <c r="N487" s="1">
        <v>44193</v>
      </c>
      <c r="R487">
        <v>-87.59</v>
      </c>
      <c r="S487">
        <v>-54.74</v>
      </c>
      <c r="T487">
        <v>-49.7</v>
      </c>
      <c r="U487" t="s">
        <v>32</v>
      </c>
      <c r="V487" t="s">
        <v>32</v>
      </c>
      <c r="Y487">
        <v>0</v>
      </c>
      <c r="Z487">
        <v>-24.32</v>
      </c>
      <c r="AA487">
        <v>-6.97</v>
      </c>
      <c r="AB487">
        <v>-139.41</v>
      </c>
    </row>
    <row r="488" spans="1:28" hidden="1" x14ac:dyDescent="0.2">
      <c r="A488" t="s">
        <v>1779</v>
      </c>
      <c r="B488" t="s">
        <v>1780</v>
      </c>
      <c r="J488" t="s">
        <v>53</v>
      </c>
      <c r="N488" s="1">
        <v>44194</v>
      </c>
      <c r="O488">
        <v>236</v>
      </c>
      <c r="R488">
        <v>34.22</v>
      </c>
      <c r="S488">
        <v>48.82</v>
      </c>
      <c r="T488">
        <v>39.619999999999997</v>
      </c>
      <c r="U488">
        <v>36</v>
      </c>
      <c r="V488">
        <v>17.600000000000001</v>
      </c>
      <c r="X488">
        <v>166</v>
      </c>
      <c r="Y488">
        <v>0</v>
      </c>
      <c r="Z488">
        <v>18.260000000000002</v>
      </c>
      <c r="AA488">
        <v>15.56</v>
      </c>
      <c r="AB488">
        <v>76.16</v>
      </c>
    </row>
    <row r="489" spans="1:28" hidden="1" x14ac:dyDescent="0.2">
      <c r="A489" t="s">
        <v>1118</v>
      </c>
      <c r="B489" t="s">
        <v>1119</v>
      </c>
      <c r="L489" t="s">
        <v>30</v>
      </c>
      <c r="M489" t="s">
        <v>248</v>
      </c>
      <c r="N489" s="1">
        <v>44193</v>
      </c>
      <c r="O489">
        <v>994</v>
      </c>
      <c r="Q489">
        <v>2.62</v>
      </c>
      <c r="R489">
        <v>6.77</v>
      </c>
      <c r="S489">
        <v>-6.01</v>
      </c>
      <c r="T489">
        <v>20.07</v>
      </c>
      <c r="U489">
        <v>6.97</v>
      </c>
      <c r="V489">
        <v>4.1900000000000004</v>
      </c>
      <c r="X489">
        <v>129</v>
      </c>
      <c r="Y489">
        <v>0</v>
      </c>
      <c r="Z489">
        <v>16.55</v>
      </c>
      <c r="AA489">
        <v>12.26</v>
      </c>
      <c r="AB489">
        <v>34.85</v>
      </c>
    </row>
    <row r="490" spans="1:28" hidden="1" x14ac:dyDescent="0.2">
      <c r="A490" t="s">
        <v>1120</v>
      </c>
      <c r="B490" t="s">
        <v>1121</v>
      </c>
      <c r="N490" s="1">
        <v>44193</v>
      </c>
      <c r="Q490">
        <v>2.83</v>
      </c>
      <c r="R490">
        <v>53.7</v>
      </c>
      <c r="S490">
        <v>13.08</v>
      </c>
      <c r="T490">
        <v>10.39</v>
      </c>
      <c r="U490">
        <v>10.91</v>
      </c>
      <c r="V490">
        <v>7.69</v>
      </c>
      <c r="Y490">
        <v>0</v>
      </c>
      <c r="Z490">
        <v>5.52</v>
      </c>
      <c r="AA490">
        <v>6.23</v>
      </c>
      <c r="AB490">
        <v>14.86</v>
      </c>
    </row>
    <row r="491" spans="1:28" hidden="1" x14ac:dyDescent="0.2">
      <c r="A491" t="s">
        <v>1122</v>
      </c>
      <c r="B491" t="s">
        <v>1123</v>
      </c>
      <c r="F491">
        <v>49</v>
      </c>
      <c r="H491">
        <v>1</v>
      </c>
      <c r="I491">
        <v>0</v>
      </c>
      <c r="K491" s="1">
        <v>43316</v>
      </c>
      <c r="L491" t="s">
        <v>39</v>
      </c>
      <c r="M491" t="s">
        <v>60</v>
      </c>
      <c r="N491" s="1">
        <v>44193</v>
      </c>
      <c r="O491">
        <v>124</v>
      </c>
      <c r="Q491">
        <v>0.69</v>
      </c>
      <c r="R491">
        <v>-33.78</v>
      </c>
      <c r="S491">
        <v>-7.06</v>
      </c>
      <c r="T491">
        <v>1.65</v>
      </c>
      <c r="U491">
        <v>10.87</v>
      </c>
      <c r="V491">
        <v>7.06</v>
      </c>
      <c r="X491">
        <v>49</v>
      </c>
      <c r="Y491">
        <v>0</v>
      </c>
      <c r="Z491">
        <v>7.02</v>
      </c>
      <c r="AA491">
        <v>4.0599999999999996</v>
      </c>
      <c r="AB491">
        <v>8.52</v>
      </c>
    </row>
    <row r="492" spans="1:28" hidden="1" x14ac:dyDescent="0.2">
      <c r="A492" t="s">
        <v>1124</v>
      </c>
      <c r="B492" t="s">
        <v>1101</v>
      </c>
      <c r="L492" t="s">
        <v>226</v>
      </c>
      <c r="M492" t="s">
        <v>243</v>
      </c>
    </row>
    <row r="493" spans="1:28" hidden="1" x14ac:dyDescent="0.2">
      <c r="A493" t="s">
        <v>1125</v>
      </c>
      <c r="B493" t="s">
        <v>1126</v>
      </c>
      <c r="F493">
        <v>35</v>
      </c>
      <c r="H493">
        <v>0</v>
      </c>
      <c r="I493">
        <v>0</v>
      </c>
      <c r="J493" t="s">
        <v>68</v>
      </c>
      <c r="K493" s="1">
        <v>43316</v>
      </c>
      <c r="L493" t="s">
        <v>95</v>
      </c>
      <c r="M493" t="s">
        <v>232</v>
      </c>
    </row>
    <row r="494" spans="1:28" hidden="1" x14ac:dyDescent="0.2">
      <c r="A494" t="s">
        <v>1127</v>
      </c>
      <c r="B494" t="s">
        <v>1128</v>
      </c>
      <c r="F494">
        <v>41</v>
      </c>
      <c r="H494">
        <v>1</v>
      </c>
      <c r="I494">
        <v>0</v>
      </c>
      <c r="K494" s="1">
        <v>43316</v>
      </c>
      <c r="L494" t="s">
        <v>95</v>
      </c>
      <c r="M494" t="s">
        <v>511</v>
      </c>
      <c r="N494" s="1">
        <v>44193</v>
      </c>
      <c r="O494">
        <v>7905</v>
      </c>
      <c r="Q494">
        <v>5.27</v>
      </c>
      <c r="R494">
        <v>-2.8</v>
      </c>
      <c r="S494">
        <v>-1.93</v>
      </c>
      <c r="T494">
        <v>2.35</v>
      </c>
      <c r="U494">
        <v>1.8</v>
      </c>
      <c r="V494">
        <v>5.39</v>
      </c>
      <c r="X494">
        <v>6318</v>
      </c>
      <c r="Y494">
        <v>9.3000000000000007</v>
      </c>
      <c r="Z494">
        <v>10.54</v>
      </c>
      <c r="AA494">
        <v>5.21</v>
      </c>
      <c r="AB494">
        <v>40.369999999999997</v>
      </c>
    </row>
    <row r="495" spans="1:28" hidden="1" x14ac:dyDescent="0.2">
      <c r="A495" t="s">
        <v>1814</v>
      </c>
      <c r="B495" t="s">
        <v>1815</v>
      </c>
      <c r="N495" s="1">
        <v>44197</v>
      </c>
      <c r="O495">
        <v>139214</v>
      </c>
      <c r="P495" t="s">
        <v>2403</v>
      </c>
      <c r="Q495" t="s">
        <v>32</v>
      </c>
      <c r="R495">
        <v>-1.52</v>
      </c>
      <c r="S495">
        <v>15.35</v>
      </c>
      <c r="T495">
        <v>16.29</v>
      </c>
      <c r="U495">
        <v>5.52</v>
      </c>
      <c r="V495">
        <v>7.81</v>
      </c>
      <c r="X495" t="s">
        <v>32</v>
      </c>
      <c r="Y495">
        <v>0</v>
      </c>
      <c r="Z495">
        <v>12.53</v>
      </c>
      <c r="AA495">
        <v>1.01</v>
      </c>
      <c r="AB495">
        <v>10.57</v>
      </c>
    </row>
    <row r="496" spans="1:28" hidden="1" x14ac:dyDescent="0.2">
      <c r="A496" s="2" t="s">
        <v>1752</v>
      </c>
      <c r="B496" t="s">
        <v>1753</v>
      </c>
      <c r="F496">
        <v>60</v>
      </c>
      <c r="G496" s="5">
        <v>44263</v>
      </c>
      <c r="J496" t="s">
        <v>53</v>
      </c>
      <c r="N496" s="1">
        <v>44194</v>
      </c>
      <c r="R496" s="6">
        <v>38.299999999999997</v>
      </c>
      <c r="S496" s="6">
        <v>22.78</v>
      </c>
      <c r="T496">
        <v>39.46</v>
      </c>
      <c r="U496" s="6">
        <v>20.66</v>
      </c>
      <c r="Y496">
        <v>1.4</v>
      </c>
    </row>
    <row r="497" spans="1:28" hidden="1" x14ac:dyDescent="0.2">
      <c r="A497" t="s">
        <v>1818</v>
      </c>
      <c r="B497" t="s">
        <v>1819</v>
      </c>
      <c r="N497" s="1">
        <v>44197</v>
      </c>
      <c r="O497">
        <v>-88</v>
      </c>
      <c r="P497" t="s">
        <v>2403</v>
      </c>
      <c r="Q497" t="s">
        <v>32</v>
      </c>
      <c r="R497">
        <v>-6.67</v>
      </c>
      <c r="S497">
        <v>-53.95</v>
      </c>
      <c r="T497">
        <v>-55</v>
      </c>
      <c r="U497">
        <v>-39.54</v>
      </c>
      <c r="V497">
        <v>-25.39</v>
      </c>
      <c r="X497" t="s">
        <v>32</v>
      </c>
      <c r="Y497">
        <v>0</v>
      </c>
      <c r="Z497" t="s">
        <v>2403</v>
      </c>
      <c r="AA497" t="s">
        <v>2403</v>
      </c>
      <c r="AB497" t="s">
        <v>2403</v>
      </c>
    </row>
    <row r="498" spans="1:28" hidden="1" x14ac:dyDescent="0.2">
      <c r="A498" t="s">
        <v>1135</v>
      </c>
      <c r="B498" t="s">
        <v>1136</v>
      </c>
      <c r="N498" s="1">
        <v>44193</v>
      </c>
      <c r="R498">
        <v>-7.71</v>
      </c>
      <c r="S498">
        <v>4.2699999999999996</v>
      </c>
      <c r="T498">
        <v>9.25</v>
      </c>
      <c r="U498">
        <v>11.85</v>
      </c>
      <c r="V498">
        <v>9.81</v>
      </c>
      <c r="Y498">
        <v>0</v>
      </c>
      <c r="Z498">
        <v>18.600000000000001</v>
      </c>
      <c r="AA498">
        <v>3.68</v>
      </c>
      <c r="AB498">
        <v>9.82</v>
      </c>
    </row>
    <row r="499" spans="1:28" hidden="1" x14ac:dyDescent="0.2">
      <c r="A499" t="s">
        <v>284</v>
      </c>
      <c r="B499" t="s">
        <v>285</v>
      </c>
      <c r="L499" t="s">
        <v>213</v>
      </c>
      <c r="M499" t="s">
        <v>214</v>
      </c>
      <c r="N499" s="1">
        <v>44194</v>
      </c>
      <c r="R499">
        <v>35.99</v>
      </c>
      <c r="S499">
        <v>23.05</v>
      </c>
      <c r="T499" t="s">
        <v>32</v>
      </c>
      <c r="U499" t="s">
        <v>32</v>
      </c>
      <c r="V499" t="s">
        <v>32</v>
      </c>
      <c r="Y499">
        <v>0.4</v>
      </c>
      <c r="Z499">
        <v>1.08</v>
      </c>
      <c r="AA499">
        <v>0.31</v>
      </c>
      <c r="AB499">
        <v>7.53</v>
      </c>
    </row>
    <row r="500" spans="1:28" hidden="1" x14ac:dyDescent="0.2">
      <c r="A500" t="s">
        <v>1139</v>
      </c>
      <c r="B500" t="s">
        <v>1140</v>
      </c>
      <c r="L500" t="s">
        <v>39</v>
      </c>
      <c r="M500" t="s">
        <v>1141</v>
      </c>
      <c r="N500" s="1">
        <v>44193</v>
      </c>
      <c r="Q500">
        <v>15.98</v>
      </c>
      <c r="R500">
        <v>-4.1399999999999997</v>
      </c>
      <c r="S500">
        <v>11.83</v>
      </c>
      <c r="T500">
        <v>5.87</v>
      </c>
      <c r="U500">
        <v>12.08</v>
      </c>
      <c r="V500">
        <v>7.56</v>
      </c>
      <c r="Y500">
        <v>0</v>
      </c>
      <c r="Z500">
        <v>-24.2</v>
      </c>
      <c r="AA500">
        <v>-8.32</v>
      </c>
      <c r="AB500">
        <v>-43.26</v>
      </c>
    </row>
    <row r="501" spans="1:28" hidden="1" x14ac:dyDescent="0.2">
      <c r="A501" t="s">
        <v>1142</v>
      </c>
      <c r="B501" t="s">
        <v>1143</v>
      </c>
      <c r="F501">
        <v>35</v>
      </c>
      <c r="H501">
        <v>1</v>
      </c>
      <c r="I501">
        <v>0</v>
      </c>
      <c r="K501" s="1">
        <v>43316</v>
      </c>
      <c r="L501" t="s">
        <v>30</v>
      </c>
      <c r="M501" t="s">
        <v>164</v>
      </c>
      <c r="N501" s="1">
        <v>44193</v>
      </c>
      <c r="O501">
        <v>383</v>
      </c>
      <c r="Q501">
        <v>2.69</v>
      </c>
      <c r="R501">
        <v>-8.99</v>
      </c>
      <c r="S501">
        <v>-7.79</v>
      </c>
      <c r="T501">
        <v>0.66</v>
      </c>
      <c r="U501">
        <v>9.09</v>
      </c>
      <c r="V501">
        <v>9.7799999999999994</v>
      </c>
      <c r="X501">
        <v>342</v>
      </c>
      <c r="Y501">
        <v>4</v>
      </c>
      <c r="Z501">
        <v>7.5</v>
      </c>
      <c r="AA501">
        <v>2.93</v>
      </c>
      <c r="AB501">
        <v>6.31</v>
      </c>
    </row>
    <row r="502" spans="1:28" hidden="1" x14ac:dyDescent="0.2">
      <c r="A502" t="s">
        <v>1144</v>
      </c>
      <c r="B502" t="s">
        <v>1145</v>
      </c>
      <c r="H502">
        <v>1</v>
      </c>
      <c r="I502">
        <v>0</v>
      </c>
      <c r="K502" s="1">
        <v>43316</v>
      </c>
      <c r="L502" t="s">
        <v>43</v>
      </c>
      <c r="M502" t="s">
        <v>537</v>
      </c>
      <c r="N502" s="1">
        <v>44193</v>
      </c>
      <c r="Q502">
        <v>3.18</v>
      </c>
      <c r="R502">
        <v>11.17</v>
      </c>
      <c r="S502">
        <v>-11.62</v>
      </c>
      <c r="T502">
        <v>3.77</v>
      </c>
      <c r="U502">
        <v>2.34</v>
      </c>
      <c r="V502">
        <v>-1.99</v>
      </c>
      <c r="Y502">
        <v>0</v>
      </c>
      <c r="Z502">
        <v>-21.6</v>
      </c>
      <c r="AA502">
        <v>-6.19</v>
      </c>
      <c r="AB502">
        <v>-59.53</v>
      </c>
    </row>
    <row r="503" spans="1:28" hidden="1" x14ac:dyDescent="0.2">
      <c r="A503" t="s">
        <v>349</v>
      </c>
      <c r="B503" t="s">
        <v>350</v>
      </c>
      <c r="F503">
        <v>31</v>
      </c>
      <c r="H503">
        <v>1</v>
      </c>
      <c r="I503">
        <v>0</v>
      </c>
      <c r="K503" s="1">
        <v>43316</v>
      </c>
      <c r="L503" t="s">
        <v>43</v>
      </c>
      <c r="M503" t="s">
        <v>351</v>
      </c>
      <c r="N503" s="1">
        <v>44197</v>
      </c>
      <c r="O503">
        <v>101</v>
      </c>
      <c r="P503" t="s">
        <v>2403</v>
      </c>
      <c r="Q503" t="s">
        <v>32</v>
      </c>
      <c r="R503">
        <v>-23.2</v>
      </c>
      <c r="S503" t="s">
        <v>32</v>
      </c>
      <c r="T503" t="s">
        <v>32</v>
      </c>
      <c r="U503" t="s">
        <v>32</v>
      </c>
      <c r="V503" t="s">
        <v>32</v>
      </c>
      <c r="X503" t="s">
        <v>32</v>
      </c>
      <c r="Y503">
        <v>4.5999999999999996</v>
      </c>
      <c r="Z503" t="s">
        <v>2403</v>
      </c>
      <c r="AA503" t="s">
        <v>2403</v>
      </c>
      <c r="AB503" t="s">
        <v>2403</v>
      </c>
    </row>
    <row r="504" spans="1:28" hidden="1" x14ac:dyDescent="0.2">
      <c r="A504" t="s">
        <v>943</v>
      </c>
      <c r="B504" t="s">
        <v>944</v>
      </c>
      <c r="N504" s="1">
        <v>44192</v>
      </c>
      <c r="Q504">
        <v>0.56000000000000005</v>
      </c>
      <c r="R504">
        <v>36.47</v>
      </c>
      <c r="S504">
        <v>28.41</v>
      </c>
      <c r="T504">
        <v>18.63</v>
      </c>
      <c r="U504">
        <v>18.149999999999999</v>
      </c>
      <c r="V504" t="s">
        <v>32</v>
      </c>
      <c r="Y504">
        <v>2.2000000000000002</v>
      </c>
      <c r="Z504">
        <v>4.5</v>
      </c>
      <c r="AA504">
        <v>4.09</v>
      </c>
      <c r="AB504">
        <v>9.5399999999999991</v>
      </c>
    </row>
    <row r="505" spans="1:28" hidden="1" x14ac:dyDescent="0.2">
      <c r="A505" t="s">
        <v>1420</v>
      </c>
      <c r="B505" t="s">
        <v>1421</v>
      </c>
      <c r="H505">
        <v>1</v>
      </c>
      <c r="I505">
        <v>0</v>
      </c>
      <c r="K505" s="1">
        <v>43316</v>
      </c>
      <c r="L505" t="s">
        <v>95</v>
      </c>
      <c r="M505" t="s">
        <v>558</v>
      </c>
      <c r="N505" s="1">
        <v>44197</v>
      </c>
      <c r="O505">
        <v>230</v>
      </c>
      <c r="P505" t="s">
        <v>2403</v>
      </c>
      <c r="Q505" t="s">
        <v>32</v>
      </c>
      <c r="R505">
        <v>37.020000000000003</v>
      </c>
      <c r="S505">
        <v>26.02</v>
      </c>
      <c r="T505">
        <v>21.73</v>
      </c>
      <c r="U505" t="s">
        <v>32</v>
      </c>
      <c r="V505" t="s">
        <v>32</v>
      </c>
      <c r="X505" t="s">
        <v>32</v>
      </c>
      <c r="Y505">
        <v>4.4000000000000004</v>
      </c>
      <c r="Z505">
        <v>19.21</v>
      </c>
      <c r="AA505">
        <v>4.53</v>
      </c>
      <c r="AB505">
        <v>10.33</v>
      </c>
    </row>
    <row r="506" spans="1:28" hidden="1" x14ac:dyDescent="0.2">
      <c r="A506" s="4" t="s">
        <v>290</v>
      </c>
      <c r="B506" s="4" t="s">
        <v>291</v>
      </c>
      <c r="C506" s="4"/>
      <c r="D506" s="4"/>
      <c r="E506" s="4"/>
      <c r="F506" s="4">
        <v>60</v>
      </c>
      <c r="G506" s="4">
        <v>3.5</v>
      </c>
      <c r="H506" s="4">
        <v>0</v>
      </c>
      <c r="I506" s="4">
        <v>0</v>
      </c>
      <c r="J506" s="4" t="s">
        <v>53</v>
      </c>
      <c r="K506" s="1">
        <v>43716</v>
      </c>
      <c r="L506" s="4" t="s">
        <v>95</v>
      </c>
      <c r="M506" s="4" t="s">
        <v>96</v>
      </c>
      <c r="N506" s="1">
        <v>44189</v>
      </c>
      <c r="O506" s="4">
        <v>2960</v>
      </c>
      <c r="P506" s="4">
        <v>21000</v>
      </c>
      <c r="Q506" s="4">
        <v>3.24</v>
      </c>
      <c r="R506" s="7">
        <v>37.33</v>
      </c>
      <c r="S506" s="7">
        <v>20.399999999999999</v>
      </c>
      <c r="T506" s="7">
        <v>26</v>
      </c>
      <c r="U506" s="4">
        <v>32.520000000000003</v>
      </c>
      <c r="V506" s="4" t="s">
        <v>32</v>
      </c>
      <c r="W506" s="4"/>
      <c r="X506" s="4">
        <v>4968</v>
      </c>
      <c r="Y506">
        <v>1.1000000000000001</v>
      </c>
      <c r="Z506">
        <v>11.15</v>
      </c>
      <c r="AA506">
        <v>3.71</v>
      </c>
      <c r="AB506">
        <v>10.91</v>
      </c>
    </row>
    <row r="507" spans="1:28" hidden="1" x14ac:dyDescent="0.2">
      <c r="A507" t="s">
        <v>1828</v>
      </c>
      <c r="B507" t="s">
        <v>1829</v>
      </c>
      <c r="N507" s="1">
        <v>44197</v>
      </c>
      <c r="O507">
        <v>-335</v>
      </c>
      <c r="P507" t="s">
        <v>2403</v>
      </c>
      <c r="Q507" t="s">
        <v>32</v>
      </c>
      <c r="R507">
        <v>-0.39</v>
      </c>
      <c r="S507">
        <v>-2.8</v>
      </c>
      <c r="T507">
        <v>-4.32</v>
      </c>
      <c r="U507">
        <v>18.04</v>
      </c>
      <c r="V507">
        <v>20.45</v>
      </c>
      <c r="X507">
        <v>2123</v>
      </c>
      <c r="Y507">
        <v>0.9</v>
      </c>
      <c r="Z507">
        <v>-13.62</v>
      </c>
      <c r="AA507">
        <v>-10.26</v>
      </c>
      <c r="AB507">
        <v>-13.9</v>
      </c>
    </row>
    <row r="508" spans="1:28" hidden="1" x14ac:dyDescent="0.2">
      <c r="A508" s="4" t="s">
        <v>1354</v>
      </c>
      <c r="B508" s="4" t="s">
        <v>1355</v>
      </c>
      <c r="C508" s="4"/>
      <c r="D508" s="4"/>
      <c r="E508" s="4"/>
      <c r="F508" s="4">
        <v>84</v>
      </c>
      <c r="G508" s="4"/>
      <c r="H508" s="4">
        <v>0</v>
      </c>
      <c r="I508" s="4">
        <v>0</v>
      </c>
      <c r="J508" s="4" t="s">
        <v>53</v>
      </c>
      <c r="K508" s="1">
        <v>43316</v>
      </c>
      <c r="L508" s="4" t="s">
        <v>95</v>
      </c>
      <c r="M508" s="4" t="s">
        <v>542</v>
      </c>
      <c r="N508" s="1">
        <v>44197</v>
      </c>
      <c r="O508" s="4">
        <v>3557</v>
      </c>
      <c r="P508" s="4" t="s">
        <v>2403</v>
      </c>
      <c r="Q508" s="4" t="s">
        <v>32</v>
      </c>
      <c r="R508" s="7">
        <v>36.82</v>
      </c>
      <c r="S508" s="7">
        <v>29.6</v>
      </c>
      <c r="T508" s="7">
        <v>23.2</v>
      </c>
      <c r="U508" s="7">
        <v>21.03</v>
      </c>
      <c r="V508" s="4">
        <v>24.81</v>
      </c>
      <c r="W508" s="4"/>
      <c r="X508" s="4">
        <v>3490</v>
      </c>
      <c r="Y508">
        <v>3.2</v>
      </c>
      <c r="Z508">
        <v>17.53</v>
      </c>
      <c r="AA508">
        <v>6.52</v>
      </c>
      <c r="AB508">
        <v>9.67</v>
      </c>
    </row>
    <row r="509" spans="1:28" hidden="1" x14ac:dyDescent="0.2">
      <c r="A509" t="s">
        <v>1843</v>
      </c>
      <c r="B509" t="s">
        <v>1844</v>
      </c>
      <c r="N509" s="1">
        <v>44197</v>
      </c>
      <c r="O509">
        <v>-263</v>
      </c>
      <c r="P509" t="s">
        <v>2403</v>
      </c>
      <c r="Q509" t="s">
        <v>32</v>
      </c>
      <c r="R509">
        <v>31.99</v>
      </c>
      <c r="S509">
        <v>18.3</v>
      </c>
      <c r="T509">
        <v>-10.37</v>
      </c>
      <c r="U509">
        <v>0.14000000000000001</v>
      </c>
      <c r="V509" t="s">
        <v>32</v>
      </c>
      <c r="X509">
        <v>270</v>
      </c>
      <c r="Y509">
        <v>0</v>
      </c>
      <c r="Z509">
        <v>-19</v>
      </c>
      <c r="AA509">
        <v>-17.12</v>
      </c>
      <c r="AB509">
        <v>-67.89</v>
      </c>
    </row>
    <row r="510" spans="1:28" hidden="1" x14ac:dyDescent="0.2">
      <c r="A510" t="s">
        <v>1816</v>
      </c>
      <c r="B510" t="s">
        <v>1817</v>
      </c>
      <c r="N510" s="1">
        <v>44193</v>
      </c>
      <c r="R510">
        <v>38.86</v>
      </c>
      <c r="S510">
        <v>21.35</v>
      </c>
      <c r="T510">
        <v>19.18</v>
      </c>
      <c r="U510" t="s">
        <v>32</v>
      </c>
      <c r="V510" t="s">
        <v>32</v>
      </c>
      <c r="Y510">
        <v>0</v>
      </c>
      <c r="Z510">
        <v>20.37</v>
      </c>
      <c r="AA510">
        <v>2.4</v>
      </c>
      <c r="AB510">
        <v>3.82</v>
      </c>
    </row>
    <row r="511" spans="1:28" hidden="1" x14ac:dyDescent="0.2">
      <c r="A511" t="s">
        <v>1787</v>
      </c>
      <c r="B511" t="s">
        <v>1788</v>
      </c>
      <c r="N511" s="1">
        <v>44197</v>
      </c>
      <c r="O511">
        <v>455</v>
      </c>
      <c r="P511" t="s">
        <v>2403</v>
      </c>
      <c r="Q511" t="s">
        <v>32</v>
      </c>
      <c r="R511">
        <v>39.130000000000003</v>
      </c>
      <c r="S511">
        <v>50.36</v>
      </c>
      <c r="T511">
        <v>36.65</v>
      </c>
      <c r="U511">
        <v>24.82</v>
      </c>
      <c r="V511" t="s">
        <v>32</v>
      </c>
      <c r="X511">
        <v>324</v>
      </c>
      <c r="Y511">
        <v>2.4</v>
      </c>
      <c r="Z511">
        <v>18.510000000000002</v>
      </c>
      <c r="AA511">
        <v>12.75</v>
      </c>
      <c r="AB511">
        <v>47.53</v>
      </c>
    </row>
    <row r="512" spans="1:28" hidden="1" x14ac:dyDescent="0.2">
      <c r="A512" t="s">
        <v>1164</v>
      </c>
      <c r="B512" t="s">
        <v>1165</v>
      </c>
      <c r="L512" t="s">
        <v>99</v>
      </c>
      <c r="M512" t="s">
        <v>457</v>
      </c>
      <c r="N512" s="1">
        <v>44193</v>
      </c>
      <c r="Q512">
        <v>3.28</v>
      </c>
      <c r="R512">
        <v>-11.52</v>
      </c>
      <c r="S512">
        <v>-14.84</v>
      </c>
      <c r="T512">
        <v>-1.26</v>
      </c>
      <c r="U512">
        <v>7.52</v>
      </c>
      <c r="V512">
        <v>9.85</v>
      </c>
      <c r="Y512">
        <v>1.5</v>
      </c>
      <c r="Z512">
        <v>5.75</v>
      </c>
      <c r="AA512">
        <v>5.45</v>
      </c>
      <c r="AB512">
        <v>12.74</v>
      </c>
    </row>
    <row r="513" spans="1:28" hidden="1" x14ac:dyDescent="0.2">
      <c r="A513" t="s">
        <v>1166</v>
      </c>
      <c r="B513" t="s">
        <v>1167</v>
      </c>
      <c r="J513" t="s">
        <v>68</v>
      </c>
      <c r="L513" t="s">
        <v>26</v>
      </c>
      <c r="M513" t="s">
        <v>275</v>
      </c>
    </row>
    <row r="514" spans="1:28" hidden="1" x14ac:dyDescent="0.2">
      <c r="A514" t="s">
        <v>1168</v>
      </c>
      <c r="B514" t="s">
        <v>1169</v>
      </c>
      <c r="F514">
        <v>43</v>
      </c>
      <c r="H514">
        <v>1</v>
      </c>
      <c r="I514">
        <v>0</v>
      </c>
      <c r="K514" s="1">
        <v>43316</v>
      </c>
      <c r="L514" t="s">
        <v>226</v>
      </c>
      <c r="M514" t="s">
        <v>227</v>
      </c>
      <c r="N514" s="1">
        <v>44193</v>
      </c>
      <c r="Q514">
        <v>1.41</v>
      </c>
      <c r="R514">
        <v>-27.72</v>
      </c>
      <c r="S514">
        <v>4.4400000000000004</v>
      </c>
      <c r="T514">
        <v>-3.52</v>
      </c>
      <c r="U514">
        <v>-0.81</v>
      </c>
      <c r="V514">
        <v>4.55</v>
      </c>
      <c r="Y514">
        <v>0</v>
      </c>
      <c r="Z514">
        <v>0.68</v>
      </c>
      <c r="AA514">
        <v>3.33</v>
      </c>
      <c r="AB514">
        <v>9.0299999999999994</v>
      </c>
    </row>
    <row r="515" spans="1:28" hidden="1" x14ac:dyDescent="0.2">
      <c r="A515" t="s">
        <v>1170</v>
      </c>
      <c r="B515" t="s">
        <v>1171</v>
      </c>
      <c r="F515">
        <v>57</v>
      </c>
      <c r="H515">
        <v>0</v>
      </c>
      <c r="I515">
        <v>0</v>
      </c>
      <c r="J515" t="s">
        <v>80</v>
      </c>
      <c r="K515" s="1">
        <v>43316</v>
      </c>
      <c r="L515" t="s">
        <v>95</v>
      </c>
      <c r="M515" t="s">
        <v>96</v>
      </c>
      <c r="N515" s="1">
        <v>44193</v>
      </c>
      <c r="O515">
        <v>21947</v>
      </c>
      <c r="Q515">
        <v>2.73</v>
      </c>
      <c r="R515">
        <v>-18.55</v>
      </c>
      <c r="S515">
        <v>2.88</v>
      </c>
      <c r="T515">
        <v>8.65</v>
      </c>
      <c r="U515">
        <v>10.66</v>
      </c>
      <c r="V515">
        <v>5.74</v>
      </c>
      <c r="X515">
        <v>13285</v>
      </c>
      <c r="Y515">
        <v>1.8</v>
      </c>
      <c r="Z515">
        <v>28.1</v>
      </c>
      <c r="AA515">
        <v>15.73</v>
      </c>
      <c r="AB515">
        <v>29.47</v>
      </c>
    </row>
    <row r="516" spans="1:28" hidden="1" x14ac:dyDescent="0.2">
      <c r="A516" t="s">
        <v>1689</v>
      </c>
      <c r="B516" t="s">
        <v>1690</v>
      </c>
      <c r="N516" s="1">
        <v>44197</v>
      </c>
      <c r="O516">
        <v>682</v>
      </c>
      <c r="P516" t="s">
        <v>2403</v>
      </c>
      <c r="Q516" t="s">
        <v>32</v>
      </c>
      <c r="R516">
        <v>39.93</v>
      </c>
      <c r="S516">
        <v>43.36</v>
      </c>
      <c r="T516">
        <v>46.27</v>
      </c>
      <c r="U516">
        <v>29.85</v>
      </c>
      <c r="V516">
        <v>22.91</v>
      </c>
      <c r="X516" t="s">
        <v>32</v>
      </c>
      <c r="Y516">
        <v>0</v>
      </c>
      <c r="Z516">
        <v>30.39</v>
      </c>
      <c r="AA516">
        <v>20.68</v>
      </c>
      <c r="AB516">
        <v>29.41</v>
      </c>
    </row>
    <row r="517" spans="1:28" hidden="1" x14ac:dyDescent="0.2">
      <c r="A517" t="s">
        <v>1371</v>
      </c>
      <c r="B517" t="s">
        <v>1372</v>
      </c>
      <c r="F517">
        <v>84</v>
      </c>
      <c r="H517">
        <v>0</v>
      </c>
      <c r="I517" t="s">
        <v>68</v>
      </c>
      <c r="J517" t="s">
        <v>53</v>
      </c>
      <c r="K517" s="1">
        <v>43316</v>
      </c>
      <c r="L517" t="s">
        <v>95</v>
      </c>
      <c r="M517" t="s">
        <v>542</v>
      </c>
      <c r="N517" s="1">
        <v>44193</v>
      </c>
      <c r="O517">
        <v>1967</v>
      </c>
      <c r="Q517">
        <v>0.62</v>
      </c>
      <c r="R517">
        <v>45.02</v>
      </c>
      <c r="S517">
        <v>34.65</v>
      </c>
      <c r="T517">
        <v>31.9</v>
      </c>
      <c r="U517">
        <v>22.95</v>
      </c>
      <c r="V517">
        <v>19.55</v>
      </c>
      <c r="X517">
        <v>1383</v>
      </c>
      <c r="Y517">
        <v>3.3</v>
      </c>
      <c r="Z517">
        <v>25.1</v>
      </c>
      <c r="AA517">
        <v>24.76</v>
      </c>
      <c r="AB517">
        <v>44.31</v>
      </c>
    </row>
    <row r="518" spans="1:28" hidden="1" x14ac:dyDescent="0.2">
      <c r="A518" t="s">
        <v>1853</v>
      </c>
      <c r="B518" t="s">
        <v>1854</v>
      </c>
      <c r="N518" s="1">
        <v>44197</v>
      </c>
      <c r="O518">
        <v>216</v>
      </c>
      <c r="P518" t="s">
        <v>2403</v>
      </c>
      <c r="Q518" t="s">
        <v>32</v>
      </c>
      <c r="R518">
        <v>-12.5</v>
      </c>
      <c r="S518">
        <v>-4.42</v>
      </c>
      <c r="T518">
        <v>3.29</v>
      </c>
      <c r="U518">
        <v>-2.64</v>
      </c>
      <c r="V518">
        <v>-1.06</v>
      </c>
      <c r="X518">
        <v>2</v>
      </c>
      <c r="Y518">
        <v>0</v>
      </c>
      <c r="Z518">
        <v>67.16</v>
      </c>
      <c r="AA518">
        <v>27.09</v>
      </c>
      <c r="AB518">
        <v>57.52</v>
      </c>
    </row>
    <row r="519" spans="1:28" hidden="1" x14ac:dyDescent="0.2">
      <c r="A519" t="s">
        <v>1178</v>
      </c>
      <c r="B519" t="s">
        <v>1179</v>
      </c>
      <c r="F519">
        <v>58</v>
      </c>
      <c r="H519">
        <v>1</v>
      </c>
      <c r="I519">
        <v>0</v>
      </c>
      <c r="K519" s="1">
        <v>43316</v>
      </c>
      <c r="L519" t="s">
        <v>43</v>
      </c>
      <c r="M519" t="s">
        <v>405</v>
      </c>
      <c r="N519" s="1">
        <v>44193</v>
      </c>
      <c r="Q519">
        <v>4.1399999999999997</v>
      </c>
      <c r="R519">
        <v>12.43</v>
      </c>
      <c r="S519">
        <v>-1.3</v>
      </c>
      <c r="T519">
        <v>9.0500000000000007</v>
      </c>
      <c r="U519">
        <v>9.5</v>
      </c>
      <c r="V519">
        <v>4.91</v>
      </c>
      <c r="Y519">
        <v>0</v>
      </c>
      <c r="Z519">
        <v>2.37</v>
      </c>
      <c r="AA519">
        <v>1.5</v>
      </c>
      <c r="AB519">
        <v>6.8</v>
      </c>
    </row>
    <row r="520" spans="1:28" hidden="1" x14ac:dyDescent="0.2">
      <c r="A520" t="s">
        <v>1180</v>
      </c>
      <c r="B520" t="s">
        <v>1181</v>
      </c>
      <c r="F520">
        <v>73</v>
      </c>
      <c r="H520">
        <v>1</v>
      </c>
      <c r="I520">
        <v>0</v>
      </c>
      <c r="K520" s="1">
        <v>43316</v>
      </c>
      <c r="L520" t="s">
        <v>43</v>
      </c>
      <c r="M520" t="s">
        <v>44</v>
      </c>
      <c r="N520" s="1">
        <v>44193</v>
      </c>
      <c r="Q520">
        <v>4.58</v>
      </c>
      <c r="R520">
        <v>6.6</v>
      </c>
      <c r="S520">
        <v>8.8800000000000008</v>
      </c>
      <c r="T520">
        <v>3.25</v>
      </c>
      <c r="U520">
        <v>10.53</v>
      </c>
      <c r="V520">
        <v>7.63</v>
      </c>
      <c r="Y520">
        <v>11.5</v>
      </c>
      <c r="Z520">
        <v>6.03</v>
      </c>
      <c r="AA520">
        <v>3.54</v>
      </c>
      <c r="AB520">
        <v>21.87</v>
      </c>
    </row>
    <row r="521" spans="1:28" hidden="1" x14ac:dyDescent="0.2">
      <c r="A521" t="s">
        <v>1857</v>
      </c>
      <c r="B521" t="s">
        <v>1858</v>
      </c>
      <c r="N521" s="1">
        <v>44197</v>
      </c>
      <c r="O521">
        <v>106</v>
      </c>
      <c r="P521" t="s">
        <v>2403</v>
      </c>
      <c r="Q521" t="s">
        <v>32</v>
      </c>
      <c r="R521">
        <v>54.42</v>
      </c>
      <c r="S521">
        <v>1.48</v>
      </c>
      <c r="T521">
        <v>20.21</v>
      </c>
      <c r="U521">
        <v>21.65</v>
      </c>
      <c r="V521" t="s">
        <v>32</v>
      </c>
      <c r="X521">
        <v>126</v>
      </c>
      <c r="Y521">
        <v>0</v>
      </c>
      <c r="Z521">
        <v>9.0399999999999991</v>
      </c>
      <c r="AA521">
        <v>3.83</v>
      </c>
      <c r="AB521">
        <v>4.3600000000000003</v>
      </c>
    </row>
    <row r="522" spans="1:28" hidden="1" x14ac:dyDescent="0.2">
      <c r="A522" t="s">
        <v>1721</v>
      </c>
      <c r="B522" t="s">
        <v>1722</v>
      </c>
      <c r="H522">
        <v>1</v>
      </c>
      <c r="I522">
        <v>0</v>
      </c>
      <c r="K522" s="1">
        <v>43316</v>
      </c>
      <c r="L522" t="s">
        <v>26</v>
      </c>
      <c r="M522" t="s">
        <v>27</v>
      </c>
      <c r="N522" s="1">
        <v>44193</v>
      </c>
      <c r="O522">
        <v>412</v>
      </c>
      <c r="Q522">
        <v>0.21</v>
      </c>
      <c r="R522">
        <v>43.65</v>
      </c>
      <c r="S522">
        <v>24.38</v>
      </c>
      <c r="T522">
        <v>21.43</v>
      </c>
      <c r="U522">
        <v>18.510000000000002</v>
      </c>
      <c r="V522">
        <v>12.93</v>
      </c>
      <c r="X522">
        <v>196</v>
      </c>
      <c r="Y522">
        <v>2</v>
      </c>
      <c r="Z522">
        <v>12.74</v>
      </c>
      <c r="AA522">
        <v>6.17</v>
      </c>
      <c r="AB522">
        <v>13.88</v>
      </c>
    </row>
    <row r="523" spans="1:28" hidden="1" x14ac:dyDescent="0.2">
      <c r="A523" t="s">
        <v>612</v>
      </c>
      <c r="B523" t="s">
        <v>613</v>
      </c>
      <c r="H523">
        <v>1</v>
      </c>
      <c r="I523">
        <v>0</v>
      </c>
      <c r="K523" s="1">
        <v>43316</v>
      </c>
      <c r="L523" t="s">
        <v>26</v>
      </c>
      <c r="M523" t="s">
        <v>27</v>
      </c>
      <c r="N523" s="1">
        <v>44197</v>
      </c>
      <c r="O523">
        <v>579</v>
      </c>
      <c r="P523" t="s">
        <v>2403</v>
      </c>
      <c r="Q523" t="s">
        <v>32</v>
      </c>
      <c r="R523">
        <v>43.67</v>
      </c>
      <c r="S523">
        <v>22.53</v>
      </c>
      <c r="T523">
        <v>27.43</v>
      </c>
      <c r="U523">
        <v>22.38</v>
      </c>
      <c r="V523">
        <v>22.36</v>
      </c>
      <c r="X523">
        <v>136</v>
      </c>
      <c r="Y523">
        <v>5.8</v>
      </c>
      <c r="Z523">
        <v>19.36</v>
      </c>
      <c r="AA523">
        <v>21.44</v>
      </c>
      <c r="AB523">
        <v>131.43</v>
      </c>
    </row>
    <row r="524" spans="1:28" hidden="1" x14ac:dyDescent="0.2">
      <c r="A524" t="s">
        <v>1246</v>
      </c>
      <c r="B524" t="s">
        <v>1247</v>
      </c>
      <c r="F524">
        <v>41</v>
      </c>
      <c r="H524">
        <v>1</v>
      </c>
      <c r="I524">
        <v>0</v>
      </c>
      <c r="K524" s="1">
        <v>43316</v>
      </c>
      <c r="L524" t="s">
        <v>71</v>
      </c>
      <c r="M524" t="s">
        <v>502</v>
      </c>
      <c r="N524" s="1">
        <v>44197</v>
      </c>
      <c r="O524">
        <v>133</v>
      </c>
      <c r="P524" t="s">
        <v>2403</v>
      </c>
      <c r="Q524" t="s">
        <v>32</v>
      </c>
      <c r="R524">
        <v>0.26</v>
      </c>
      <c r="S524">
        <v>-0.85</v>
      </c>
      <c r="T524">
        <v>8.7200000000000006</v>
      </c>
      <c r="U524">
        <v>8.2799999999999994</v>
      </c>
      <c r="V524">
        <v>4.67</v>
      </c>
      <c r="X524" t="s">
        <v>32</v>
      </c>
      <c r="Y524">
        <v>0</v>
      </c>
      <c r="Z524">
        <v>3.19</v>
      </c>
      <c r="AA524">
        <v>0.98</v>
      </c>
      <c r="AB524">
        <v>10.86</v>
      </c>
    </row>
    <row r="525" spans="1:28" hidden="1" x14ac:dyDescent="0.2">
      <c r="A525" t="s">
        <v>1191</v>
      </c>
      <c r="B525" t="s">
        <v>1192</v>
      </c>
      <c r="L525" t="s">
        <v>71</v>
      </c>
      <c r="M525" t="s">
        <v>149</v>
      </c>
      <c r="N525" s="1">
        <v>44193</v>
      </c>
      <c r="R525">
        <v>1.1599999999999999</v>
      </c>
      <c r="S525">
        <v>15.27</v>
      </c>
      <c r="T525">
        <v>16.93</v>
      </c>
      <c r="U525" t="s">
        <v>32</v>
      </c>
      <c r="V525" t="s">
        <v>32</v>
      </c>
      <c r="Y525">
        <v>0</v>
      </c>
      <c r="Z525">
        <v>12.09</v>
      </c>
      <c r="AA525">
        <v>1.51</v>
      </c>
      <c r="AB525">
        <v>4.21</v>
      </c>
    </row>
    <row r="526" spans="1:28" hidden="1" x14ac:dyDescent="0.2">
      <c r="A526" s="4" t="s">
        <v>892</v>
      </c>
      <c r="B526" t="s">
        <v>893</v>
      </c>
      <c r="F526">
        <v>82</v>
      </c>
      <c r="H526">
        <v>0</v>
      </c>
      <c r="I526">
        <v>0</v>
      </c>
      <c r="J526" t="s">
        <v>53</v>
      </c>
      <c r="K526" s="1">
        <v>43316</v>
      </c>
      <c r="L526" t="s">
        <v>99</v>
      </c>
      <c r="M526" t="s">
        <v>561</v>
      </c>
      <c r="N526" s="1">
        <v>44192</v>
      </c>
      <c r="O526">
        <v>1151</v>
      </c>
      <c r="Q526">
        <v>2.14</v>
      </c>
      <c r="R526" s="6">
        <v>36.5</v>
      </c>
      <c r="S526" s="6">
        <v>12.86</v>
      </c>
      <c r="T526" s="6">
        <v>11.6</v>
      </c>
      <c r="U526" s="6">
        <v>13.91</v>
      </c>
      <c r="V526" s="6">
        <v>10.15</v>
      </c>
      <c r="W526" s="6"/>
      <c r="X526">
        <v>147</v>
      </c>
      <c r="Y526">
        <v>4.5999999999999996</v>
      </c>
      <c r="Z526">
        <v>16.14</v>
      </c>
      <c r="AA526">
        <v>18.91</v>
      </c>
      <c r="AB526">
        <v>138.26</v>
      </c>
    </row>
    <row r="527" spans="1:28" hidden="1" x14ac:dyDescent="0.2">
      <c r="A527" t="s">
        <v>1889</v>
      </c>
      <c r="B527" t="s">
        <v>1890</v>
      </c>
      <c r="N527" s="1">
        <v>44193</v>
      </c>
      <c r="R527">
        <v>46.46</v>
      </c>
      <c r="S527">
        <v>25.15</v>
      </c>
      <c r="T527">
        <v>16.739999999999998</v>
      </c>
      <c r="U527" t="s">
        <v>32</v>
      </c>
      <c r="V527" t="s">
        <v>32</v>
      </c>
      <c r="Y527">
        <v>0</v>
      </c>
      <c r="Z527">
        <v>-4.8</v>
      </c>
      <c r="AA527">
        <v>-2.36</v>
      </c>
      <c r="AB527">
        <v>-7.01</v>
      </c>
    </row>
    <row r="528" spans="1:28" hidden="1" x14ac:dyDescent="0.2">
      <c r="A528" t="s">
        <v>1289</v>
      </c>
      <c r="B528" t="s">
        <v>1290</v>
      </c>
      <c r="F528">
        <v>48</v>
      </c>
      <c r="H528">
        <v>1</v>
      </c>
      <c r="I528">
        <v>0</v>
      </c>
      <c r="K528" s="1">
        <v>43316</v>
      </c>
      <c r="L528" t="s">
        <v>95</v>
      </c>
      <c r="M528" t="s">
        <v>913</v>
      </c>
      <c r="N528" s="1">
        <v>44197</v>
      </c>
      <c r="O528">
        <v>-65</v>
      </c>
      <c r="P528" t="s">
        <v>2403</v>
      </c>
      <c r="Q528" t="s">
        <v>32</v>
      </c>
      <c r="R528">
        <v>14.23</v>
      </c>
      <c r="S528">
        <v>12.03</v>
      </c>
      <c r="T528">
        <v>21.53</v>
      </c>
      <c r="U528">
        <v>5.63</v>
      </c>
      <c r="V528">
        <v>6</v>
      </c>
      <c r="X528">
        <v>201</v>
      </c>
      <c r="Y528">
        <v>0</v>
      </c>
      <c r="Z528">
        <v>-2.85</v>
      </c>
      <c r="AA528">
        <v>-2.2799999999999998</v>
      </c>
      <c r="AB528">
        <v>-8.59</v>
      </c>
    </row>
    <row r="529" spans="1:28" hidden="1" x14ac:dyDescent="0.2">
      <c r="A529" t="s">
        <v>2268</v>
      </c>
      <c r="B529" t="s">
        <v>2269</v>
      </c>
      <c r="N529" s="1">
        <v>44197</v>
      </c>
      <c r="O529">
        <v>26</v>
      </c>
      <c r="P529" t="s">
        <v>2403</v>
      </c>
      <c r="Q529" t="s">
        <v>32</v>
      </c>
      <c r="R529">
        <v>48.36</v>
      </c>
      <c r="S529">
        <v>34.020000000000003</v>
      </c>
      <c r="T529">
        <v>56.02</v>
      </c>
      <c r="U529">
        <v>38.89</v>
      </c>
      <c r="V529" t="s">
        <v>32</v>
      </c>
      <c r="X529" t="s">
        <v>32</v>
      </c>
      <c r="Y529">
        <v>0</v>
      </c>
      <c r="Z529">
        <v>0.71</v>
      </c>
      <c r="AA529">
        <v>0.46</v>
      </c>
      <c r="AB529">
        <v>1</v>
      </c>
    </row>
    <row r="530" spans="1:28" hidden="1" x14ac:dyDescent="0.2">
      <c r="A530" t="s">
        <v>1201</v>
      </c>
      <c r="B530" t="s">
        <v>1202</v>
      </c>
      <c r="F530">
        <v>59</v>
      </c>
      <c r="H530">
        <v>1</v>
      </c>
      <c r="I530">
        <v>0</v>
      </c>
      <c r="K530" s="1">
        <v>43316</v>
      </c>
      <c r="L530" t="s">
        <v>39</v>
      </c>
      <c r="M530" t="s">
        <v>197</v>
      </c>
      <c r="N530" s="1">
        <v>44193</v>
      </c>
      <c r="Q530">
        <v>2.06</v>
      </c>
      <c r="R530">
        <v>14.77</v>
      </c>
      <c r="S530">
        <v>8.6199999999999992</v>
      </c>
      <c r="T530">
        <v>18.420000000000002</v>
      </c>
      <c r="U530">
        <v>15.58</v>
      </c>
      <c r="V530">
        <v>11.51</v>
      </c>
      <c r="Y530">
        <v>2.8</v>
      </c>
      <c r="Z530">
        <v>16.77</v>
      </c>
      <c r="AA530">
        <v>14.1</v>
      </c>
      <c r="AB530">
        <v>74.459999999999994</v>
      </c>
    </row>
    <row r="531" spans="1:28" hidden="1" x14ac:dyDescent="0.2">
      <c r="A531" t="s">
        <v>744</v>
      </c>
      <c r="B531" t="s">
        <v>745</v>
      </c>
      <c r="H531">
        <v>1</v>
      </c>
      <c r="I531">
        <v>0</v>
      </c>
      <c r="K531" s="1">
        <v>43316</v>
      </c>
      <c r="L531" t="s">
        <v>95</v>
      </c>
      <c r="M531" t="s">
        <v>741</v>
      </c>
      <c r="N531" s="1">
        <v>44197</v>
      </c>
      <c r="O531">
        <v>7</v>
      </c>
      <c r="P531" t="s">
        <v>2403</v>
      </c>
      <c r="Q531" t="s">
        <v>32</v>
      </c>
      <c r="R531">
        <v>48.93</v>
      </c>
      <c r="S531">
        <v>35.270000000000003</v>
      </c>
      <c r="T531">
        <v>29.96</v>
      </c>
      <c r="U531">
        <v>15.84</v>
      </c>
      <c r="V531" t="s">
        <v>32</v>
      </c>
      <c r="X531">
        <v>115</v>
      </c>
      <c r="Y531">
        <v>1.1000000000000001</v>
      </c>
      <c r="Z531">
        <v>1.44</v>
      </c>
      <c r="AA531">
        <v>1.41</v>
      </c>
      <c r="AB531">
        <v>2.5499999999999998</v>
      </c>
    </row>
    <row r="532" spans="1:28" hidden="1" x14ac:dyDescent="0.2">
      <c r="A532" t="s">
        <v>1205</v>
      </c>
      <c r="B532" t="s">
        <v>1206</v>
      </c>
      <c r="L532" t="s">
        <v>26</v>
      </c>
      <c r="M532" t="s">
        <v>77</v>
      </c>
      <c r="N532" s="1">
        <v>44193</v>
      </c>
      <c r="Q532">
        <v>0.28999999999999998</v>
      </c>
      <c r="R532">
        <v>-7.49</v>
      </c>
      <c r="S532">
        <v>-20.059999999999999</v>
      </c>
      <c r="T532">
        <v>-13.19</v>
      </c>
      <c r="U532">
        <v>-11.39</v>
      </c>
      <c r="V532">
        <v>-7.73</v>
      </c>
      <c r="Y532">
        <v>0</v>
      </c>
      <c r="Z532">
        <v>-4.87</v>
      </c>
      <c r="AA532">
        <v>-4.67</v>
      </c>
      <c r="AB532">
        <v>-12.96</v>
      </c>
    </row>
    <row r="533" spans="1:28" hidden="1" x14ac:dyDescent="0.2">
      <c r="A533" t="s">
        <v>1207</v>
      </c>
      <c r="B533" t="s">
        <v>1208</v>
      </c>
      <c r="F533">
        <v>61</v>
      </c>
      <c r="H533">
        <v>1</v>
      </c>
      <c r="I533">
        <v>0</v>
      </c>
      <c r="K533" s="1">
        <v>43316</v>
      </c>
      <c r="L533" t="s">
        <v>35</v>
      </c>
      <c r="M533" t="s">
        <v>50</v>
      </c>
      <c r="N533" s="1">
        <v>44193</v>
      </c>
      <c r="Q533">
        <v>4.78</v>
      </c>
      <c r="R533">
        <v>3.34</v>
      </c>
      <c r="S533">
        <v>-17.190000000000001</v>
      </c>
      <c r="T533">
        <v>-6.87</v>
      </c>
      <c r="U533">
        <v>1.35</v>
      </c>
      <c r="V533">
        <v>4.24</v>
      </c>
      <c r="Y533">
        <v>0</v>
      </c>
      <c r="Z533">
        <v>7.89</v>
      </c>
      <c r="AA533">
        <v>1.34</v>
      </c>
      <c r="AB533">
        <v>5.07</v>
      </c>
    </row>
    <row r="534" spans="1:28" hidden="1" x14ac:dyDescent="0.2">
      <c r="A534" t="s">
        <v>1209</v>
      </c>
      <c r="B534" t="s">
        <v>1210</v>
      </c>
      <c r="F534">
        <v>58</v>
      </c>
      <c r="H534">
        <v>1</v>
      </c>
      <c r="I534">
        <v>0</v>
      </c>
      <c r="K534" s="1">
        <v>43316</v>
      </c>
      <c r="L534" t="s">
        <v>39</v>
      </c>
      <c r="M534" t="s">
        <v>545</v>
      </c>
      <c r="N534" s="1">
        <v>44193</v>
      </c>
      <c r="Q534">
        <v>0.8</v>
      </c>
      <c r="R534">
        <v>18.82</v>
      </c>
      <c r="S534">
        <v>7.05</v>
      </c>
      <c r="T534">
        <v>14.29</v>
      </c>
      <c r="U534">
        <v>13.58</v>
      </c>
      <c r="V534">
        <v>13.09</v>
      </c>
      <c r="Y534">
        <v>1.9</v>
      </c>
      <c r="Z534">
        <v>5.31</v>
      </c>
      <c r="AA534">
        <v>8.9</v>
      </c>
      <c r="AB534">
        <v>21.22</v>
      </c>
    </row>
    <row r="535" spans="1:28" hidden="1" x14ac:dyDescent="0.2">
      <c r="A535" t="s">
        <v>1211</v>
      </c>
      <c r="B535" t="s">
        <v>1212</v>
      </c>
      <c r="F535">
        <v>54</v>
      </c>
      <c r="H535">
        <v>1</v>
      </c>
      <c r="I535">
        <v>0</v>
      </c>
      <c r="J535" t="s">
        <v>68</v>
      </c>
      <c r="K535" s="1">
        <v>43316</v>
      </c>
      <c r="L535" t="s">
        <v>95</v>
      </c>
      <c r="M535" t="s">
        <v>923</v>
      </c>
      <c r="N535" s="1">
        <v>44193</v>
      </c>
      <c r="O535">
        <v>54</v>
      </c>
      <c r="Q535">
        <v>0.84</v>
      </c>
      <c r="R535">
        <v>4.32</v>
      </c>
      <c r="S535">
        <v>17.97</v>
      </c>
      <c r="T535">
        <v>13.22</v>
      </c>
      <c r="U535">
        <v>8.73</v>
      </c>
      <c r="V535">
        <v>1.59</v>
      </c>
      <c r="X535">
        <v>44</v>
      </c>
      <c r="Y535">
        <v>0</v>
      </c>
      <c r="Z535">
        <v>0.2</v>
      </c>
      <c r="AA535">
        <v>0.39</v>
      </c>
      <c r="AB535">
        <v>2.92</v>
      </c>
    </row>
    <row r="536" spans="1:28" hidden="1" x14ac:dyDescent="0.2">
      <c r="A536" t="s">
        <v>1213</v>
      </c>
      <c r="B536" t="s">
        <v>1214</v>
      </c>
      <c r="F536">
        <v>66</v>
      </c>
      <c r="H536">
        <v>0</v>
      </c>
      <c r="I536">
        <v>0</v>
      </c>
      <c r="J536" t="s">
        <v>68</v>
      </c>
      <c r="K536" s="1">
        <v>43316</v>
      </c>
      <c r="L536" t="s">
        <v>39</v>
      </c>
      <c r="M536" t="s">
        <v>40</v>
      </c>
    </row>
    <row r="537" spans="1:28" hidden="1" x14ac:dyDescent="0.2">
      <c r="A537" t="s">
        <v>1215</v>
      </c>
      <c r="B537" t="s">
        <v>1216</v>
      </c>
      <c r="F537">
        <v>42</v>
      </c>
      <c r="H537">
        <v>1</v>
      </c>
      <c r="I537">
        <v>0</v>
      </c>
      <c r="K537" s="1">
        <v>43316</v>
      </c>
      <c r="L537" t="s">
        <v>39</v>
      </c>
      <c r="M537" t="s">
        <v>748</v>
      </c>
      <c r="N537" s="1">
        <v>44193</v>
      </c>
      <c r="Q537">
        <v>2.2599999999999998</v>
      </c>
      <c r="R537">
        <v>14.23</v>
      </c>
      <c r="S537">
        <v>8.7799999999999994</v>
      </c>
      <c r="T537">
        <v>10.210000000000001</v>
      </c>
      <c r="U537">
        <v>7.33</v>
      </c>
      <c r="V537">
        <v>2.7</v>
      </c>
      <c r="Y537">
        <v>1.4</v>
      </c>
      <c r="Z537">
        <v>2.83</v>
      </c>
      <c r="AA537">
        <v>1.52</v>
      </c>
      <c r="AB537">
        <v>3.39</v>
      </c>
    </row>
    <row r="538" spans="1:28" hidden="1" x14ac:dyDescent="0.2">
      <c r="A538" t="s">
        <v>486</v>
      </c>
      <c r="B538" t="s">
        <v>487</v>
      </c>
      <c r="F538">
        <v>33</v>
      </c>
      <c r="H538">
        <v>0</v>
      </c>
      <c r="I538">
        <v>0</v>
      </c>
      <c r="J538" t="s">
        <v>68</v>
      </c>
      <c r="K538" s="1">
        <v>43316</v>
      </c>
      <c r="L538" t="s">
        <v>43</v>
      </c>
      <c r="M538" t="s">
        <v>488</v>
      </c>
    </row>
    <row r="539" spans="1:28" hidden="1" x14ac:dyDescent="0.2">
      <c r="A539" s="4" t="s">
        <v>2143</v>
      </c>
      <c r="B539" t="s">
        <v>2144</v>
      </c>
      <c r="F539">
        <v>90</v>
      </c>
      <c r="G539">
        <v>4.4000000000000004</v>
      </c>
      <c r="H539">
        <v>1</v>
      </c>
      <c r="I539">
        <v>0</v>
      </c>
      <c r="J539" t="s">
        <v>53</v>
      </c>
      <c r="L539" t="s">
        <v>35</v>
      </c>
      <c r="M539" t="s">
        <v>210</v>
      </c>
      <c r="N539" s="1">
        <v>44193</v>
      </c>
      <c r="Q539">
        <v>0.54</v>
      </c>
      <c r="R539" s="6">
        <v>34.35</v>
      </c>
      <c r="S539" t="s">
        <v>32</v>
      </c>
      <c r="T539" t="s">
        <v>32</v>
      </c>
      <c r="U539" t="s">
        <v>32</v>
      </c>
      <c r="V539" t="s">
        <v>32</v>
      </c>
      <c r="Y539">
        <v>0</v>
      </c>
      <c r="Z539">
        <v>17.79</v>
      </c>
      <c r="AA539">
        <v>2.73</v>
      </c>
      <c r="AB539">
        <v>4.4000000000000004</v>
      </c>
    </row>
    <row r="540" spans="1:28" hidden="1" x14ac:dyDescent="0.2">
      <c r="A540" s="4" t="s">
        <v>1402</v>
      </c>
      <c r="B540" t="s">
        <v>1403</v>
      </c>
      <c r="F540">
        <v>74</v>
      </c>
      <c r="H540">
        <v>1</v>
      </c>
      <c r="I540">
        <v>0</v>
      </c>
      <c r="J540" t="s">
        <v>53</v>
      </c>
      <c r="K540" s="1">
        <v>43316</v>
      </c>
      <c r="L540" t="s">
        <v>95</v>
      </c>
      <c r="M540" t="s">
        <v>96</v>
      </c>
      <c r="N540" s="1">
        <v>44193</v>
      </c>
      <c r="O540">
        <v>608</v>
      </c>
      <c r="Q540">
        <v>1.0900000000000001</v>
      </c>
      <c r="R540" s="6">
        <v>31.6</v>
      </c>
      <c r="S540" s="6">
        <v>16.649999999999999</v>
      </c>
      <c r="T540" s="6">
        <v>24.97</v>
      </c>
      <c r="U540" s="6">
        <v>15.98</v>
      </c>
      <c r="V540" s="6">
        <v>10.97</v>
      </c>
      <c r="W540" s="6"/>
      <c r="X540">
        <v>837</v>
      </c>
      <c r="Y540">
        <v>1.4</v>
      </c>
      <c r="Z540">
        <v>11.62</v>
      </c>
      <c r="AA540">
        <v>3.51</v>
      </c>
      <c r="AB540">
        <v>11.26</v>
      </c>
    </row>
    <row r="541" spans="1:28" hidden="1" x14ac:dyDescent="0.2">
      <c r="A541" t="s">
        <v>766</v>
      </c>
      <c r="B541" t="s">
        <v>767</v>
      </c>
      <c r="F541">
        <v>48</v>
      </c>
      <c r="H541">
        <v>1</v>
      </c>
      <c r="I541">
        <v>0</v>
      </c>
      <c r="K541" s="1">
        <v>43316</v>
      </c>
      <c r="L541" t="s">
        <v>39</v>
      </c>
      <c r="M541" t="s">
        <v>748</v>
      </c>
      <c r="N541" s="1">
        <v>44197</v>
      </c>
      <c r="O541">
        <v>3</v>
      </c>
      <c r="P541" t="s">
        <v>2403</v>
      </c>
      <c r="Q541" t="s">
        <v>2403</v>
      </c>
      <c r="R541">
        <v>84.62</v>
      </c>
      <c r="S541">
        <v>8.1</v>
      </c>
      <c r="T541">
        <v>-2.33</v>
      </c>
      <c r="U541">
        <v>-12.38</v>
      </c>
      <c r="V541">
        <v>-6.88</v>
      </c>
      <c r="X541" t="s">
        <v>32</v>
      </c>
      <c r="Y541">
        <v>0</v>
      </c>
      <c r="Z541">
        <v>17.559999999999999</v>
      </c>
      <c r="AA541">
        <v>5.08</v>
      </c>
      <c r="AB541">
        <v>18.149999999999999</v>
      </c>
    </row>
    <row r="542" spans="1:28" hidden="1" x14ac:dyDescent="0.2">
      <c r="A542" t="s">
        <v>1226</v>
      </c>
      <c r="B542" t="s">
        <v>1227</v>
      </c>
      <c r="L542" t="s">
        <v>35</v>
      </c>
      <c r="M542" t="s">
        <v>50</v>
      </c>
      <c r="N542" s="1">
        <v>44193</v>
      </c>
      <c r="Q542">
        <v>2.64</v>
      </c>
      <c r="R542">
        <v>14.7</v>
      </c>
      <c r="S542">
        <v>0.98</v>
      </c>
      <c r="T542">
        <v>9.73</v>
      </c>
      <c r="U542">
        <v>-0.09</v>
      </c>
      <c r="V542">
        <v>1.47</v>
      </c>
      <c r="Y542">
        <v>0</v>
      </c>
      <c r="Z542">
        <v>12.44</v>
      </c>
      <c r="AA542">
        <v>1.29</v>
      </c>
      <c r="AB542">
        <v>6.73</v>
      </c>
    </row>
    <row r="543" spans="1:28" hidden="1" x14ac:dyDescent="0.2">
      <c r="A543" t="s">
        <v>1228</v>
      </c>
      <c r="B543" t="s">
        <v>1229</v>
      </c>
      <c r="H543">
        <v>1</v>
      </c>
      <c r="I543">
        <v>0</v>
      </c>
      <c r="J543" t="s">
        <v>68</v>
      </c>
      <c r="K543" s="1">
        <v>43316</v>
      </c>
      <c r="L543" t="s">
        <v>35</v>
      </c>
      <c r="M543" t="s">
        <v>50</v>
      </c>
      <c r="N543" s="1">
        <v>44193</v>
      </c>
      <c r="Q543">
        <v>5.05</v>
      </c>
      <c r="R543">
        <v>37.47</v>
      </c>
      <c r="S543">
        <v>-1.56</v>
      </c>
      <c r="T543" t="s">
        <v>32</v>
      </c>
      <c r="U543" t="s">
        <v>32</v>
      </c>
      <c r="V543" t="s">
        <v>32</v>
      </c>
      <c r="Y543">
        <v>0</v>
      </c>
      <c r="Z543">
        <v>3.74</v>
      </c>
      <c r="AA543">
        <v>1.25</v>
      </c>
      <c r="AB543">
        <v>1.81</v>
      </c>
    </row>
    <row r="544" spans="1:28" hidden="1" x14ac:dyDescent="0.2">
      <c r="A544" t="s">
        <v>1230</v>
      </c>
      <c r="B544" t="s">
        <v>1231</v>
      </c>
      <c r="L544" t="s">
        <v>71</v>
      </c>
      <c r="M544" t="s">
        <v>493</v>
      </c>
      <c r="N544" s="1">
        <v>44193</v>
      </c>
      <c r="Q544">
        <v>0.33</v>
      </c>
      <c r="R544">
        <v>-10.43</v>
      </c>
      <c r="S544">
        <v>1.29</v>
      </c>
      <c r="T544">
        <v>-0.06</v>
      </c>
      <c r="U544">
        <v>6.46</v>
      </c>
      <c r="V544">
        <v>7.91</v>
      </c>
      <c r="Y544">
        <v>14.8</v>
      </c>
      <c r="Z544">
        <v>2.4900000000000002</v>
      </c>
      <c r="AA544">
        <v>3.16</v>
      </c>
      <c r="AB544">
        <v>8.5299999999999994</v>
      </c>
    </row>
    <row r="545" spans="1:28" hidden="1" x14ac:dyDescent="0.2">
      <c r="A545" t="s">
        <v>1958</v>
      </c>
      <c r="B545" t="s">
        <v>1959</v>
      </c>
      <c r="J545" t="s">
        <v>53</v>
      </c>
      <c r="N545" s="1">
        <v>44193</v>
      </c>
      <c r="Q545">
        <v>0.45</v>
      </c>
      <c r="R545">
        <v>53.84</v>
      </c>
      <c r="S545">
        <v>42.13</v>
      </c>
      <c r="T545">
        <v>39.24</v>
      </c>
      <c r="U545">
        <v>39.9</v>
      </c>
      <c r="V545">
        <v>30.36</v>
      </c>
      <c r="Y545">
        <v>0</v>
      </c>
      <c r="Z545">
        <v>42.73</v>
      </c>
      <c r="AA545">
        <v>26.35</v>
      </c>
      <c r="AB545">
        <v>34.76</v>
      </c>
    </row>
    <row r="546" spans="1:28" hidden="1" x14ac:dyDescent="0.2">
      <c r="A546" t="s">
        <v>1701</v>
      </c>
      <c r="B546" t="s">
        <v>1702</v>
      </c>
      <c r="N546" s="1">
        <v>44197</v>
      </c>
      <c r="O546">
        <v>279</v>
      </c>
      <c r="P546" t="s">
        <v>2403</v>
      </c>
      <c r="Q546" t="s">
        <v>32</v>
      </c>
      <c r="R546">
        <v>54.48</v>
      </c>
      <c r="S546">
        <v>46.01</v>
      </c>
      <c r="T546">
        <v>34.93</v>
      </c>
      <c r="U546">
        <v>32</v>
      </c>
      <c r="V546">
        <v>22.66</v>
      </c>
      <c r="X546">
        <v>158</v>
      </c>
      <c r="Y546">
        <v>3.1</v>
      </c>
      <c r="Z546">
        <v>17.57</v>
      </c>
      <c r="AA546">
        <v>5.31</v>
      </c>
      <c r="AB546">
        <v>6.48</v>
      </c>
    </row>
    <row r="547" spans="1:28" hidden="1" x14ac:dyDescent="0.2">
      <c r="A547" t="s">
        <v>2365</v>
      </c>
      <c r="B547" t="s">
        <v>2366</v>
      </c>
      <c r="N547" s="1">
        <v>44194</v>
      </c>
      <c r="O547">
        <v>25650</v>
      </c>
      <c r="R547">
        <v>55.35</v>
      </c>
      <c r="S547">
        <v>27.95</v>
      </c>
      <c r="T547">
        <v>34.270000000000003</v>
      </c>
      <c r="U547" t="s">
        <v>32</v>
      </c>
      <c r="V547" t="s">
        <v>32</v>
      </c>
      <c r="X547">
        <v>34413</v>
      </c>
      <c r="Y547">
        <v>0</v>
      </c>
      <c r="Z547">
        <v>12.93</v>
      </c>
      <c r="AA547">
        <v>6.41</v>
      </c>
      <c r="AB547">
        <v>9.94</v>
      </c>
    </row>
    <row r="548" spans="1:28" hidden="1" x14ac:dyDescent="0.2">
      <c r="A548" t="s">
        <v>1240</v>
      </c>
      <c r="B548" t="s">
        <v>1241</v>
      </c>
      <c r="F548">
        <v>70</v>
      </c>
      <c r="H548">
        <v>0</v>
      </c>
      <c r="I548">
        <v>0</v>
      </c>
      <c r="K548" s="1">
        <v>43316</v>
      </c>
      <c r="L548" t="s">
        <v>26</v>
      </c>
      <c r="M548" t="s">
        <v>202</v>
      </c>
      <c r="N548" s="1">
        <v>44193</v>
      </c>
      <c r="O548">
        <v>16986</v>
      </c>
      <c r="Q548">
        <v>2.75</v>
      </c>
      <c r="R548">
        <v>7.21</v>
      </c>
      <c r="S548">
        <v>5.33</v>
      </c>
      <c r="T548">
        <v>10.41</v>
      </c>
      <c r="U548">
        <v>11.4</v>
      </c>
      <c r="V548">
        <v>7.93</v>
      </c>
      <c r="X548">
        <v>11503</v>
      </c>
      <c r="Y548">
        <v>2.8</v>
      </c>
      <c r="Z548">
        <v>21.01</v>
      </c>
      <c r="AA548">
        <v>10.41</v>
      </c>
      <c r="AB548">
        <v>27.69</v>
      </c>
    </row>
    <row r="549" spans="1:28" hidden="1" x14ac:dyDescent="0.2">
      <c r="A549" t="s">
        <v>1242</v>
      </c>
      <c r="B549" t="s">
        <v>1243</v>
      </c>
      <c r="F549">
        <v>43</v>
      </c>
      <c r="H549">
        <v>1</v>
      </c>
      <c r="I549">
        <v>0</v>
      </c>
      <c r="K549" s="1">
        <v>43316</v>
      </c>
      <c r="L549" t="s">
        <v>95</v>
      </c>
      <c r="M549" t="s">
        <v>410</v>
      </c>
      <c r="N549" s="1">
        <v>44193</v>
      </c>
      <c r="O549">
        <v>395</v>
      </c>
      <c r="Q549">
        <v>3.67</v>
      </c>
      <c r="R549">
        <v>-4.49</v>
      </c>
      <c r="S549">
        <v>-5.08</v>
      </c>
      <c r="T549">
        <v>-1.6</v>
      </c>
      <c r="U549">
        <v>-3.44</v>
      </c>
      <c r="V549">
        <v>1.05</v>
      </c>
      <c r="X549">
        <v>956</v>
      </c>
      <c r="Y549">
        <v>2</v>
      </c>
      <c r="Z549">
        <v>8.92</v>
      </c>
      <c r="AA549">
        <v>4.53</v>
      </c>
      <c r="AB549">
        <v>8.59</v>
      </c>
    </row>
    <row r="550" spans="1:28" hidden="1" x14ac:dyDescent="0.2">
      <c r="A550" t="s">
        <v>1244</v>
      </c>
      <c r="B550" t="s">
        <v>1245</v>
      </c>
      <c r="F550">
        <v>63</v>
      </c>
      <c r="H550">
        <v>0</v>
      </c>
      <c r="I550">
        <v>0</v>
      </c>
      <c r="J550" t="s">
        <v>80</v>
      </c>
      <c r="K550" s="1">
        <v>43316</v>
      </c>
      <c r="L550" t="s">
        <v>35</v>
      </c>
      <c r="M550" t="s">
        <v>326</v>
      </c>
      <c r="N550" s="1">
        <v>44193</v>
      </c>
      <c r="Q550">
        <v>3.05</v>
      </c>
      <c r="R550">
        <v>-6.88</v>
      </c>
      <c r="S550">
        <v>7.61</v>
      </c>
      <c r="T550">
        <v>15.65</v>
      </c>
      <c r="U550">
        <v>13.12</v>
      </c>
      <c r="V550">
        <v>9.15</v>
      </c>
      <c r="Y550">
        <v>8.3000000000000007</v>
      </c>
      <c r="Z550">
        <v>20.03</v>
      </c>
      <c r="AA550">
        <v>0.79</v>
      </c>
      <c r="AB550">
        <v>9.98</v>
      </c>
    </row>
    <row r="551" spans="1:28" hidden="1" x14ac:dyDescent="0.2">
      <c r="A551" s="4" t="s">
        <v>1007</v>
      </c>
      <c r="B551" t="s">
        <v>1008</v>
      </c>
      <c r="F551">
        <v>70</v>
      </c>
      <c r="G551">
        <v>4.0999999999999996</v>
      </c>
      <c r="J551" t="s">
        <v>53</v>
      </c>
      <c r="K551" s="1">
        <v>43716</v>
      </c>
      <c r="L551" t="s">
        <v>95</v>
      </c>
      <c r="M551" t="s">
        <v>232</v>
      </c>
      <c r="N551" s="1">
        <v>44197</v>
      </c>
      <c r="O551">
        <v>35713</v>
      </c>
      <c r="P551" t="s">
        <v>2403</v>
      </c>
      <c r="Q551" t="s">
        <v>32</v>
      </c>
      <c r="R551" s="6">
        <v>31.03</v>
      </c>
      <c r="S551" s="6">
        <v>18.739999999999998</v>
      </c>
      <c r="T551" s="6">
        <v>18.21</v>
      </c>
      <c r="U551" t="s">
        <v>32</v>
      </c>
      <c r="V551" t="s">
        <v>32</v>
      </c>
      <c r="X551">
        <v>27773</v>
      </c>
      <c r="Y551">
        <v>1.5</v>
      </c>
      <c r="Z551">
        <v>20.8</v>
      </c>
      <c r="AA551">
        <v>12.7</v>
      </c>
      <c r="AB551">
        <v>17.510000000000002</v>
      </c>
    </row>
    <row r="552" spans="1:28" hidden="1" x14ac:dyDescent="0.2">
      <c r="A552" t="s">
        <v>1248</v>
      </c>
      <c r="B552" t="s">
        <v>1249</v>
      </c>
      <c r="F552">
        <v>51</v>
      </c>
      <c r="H552">
        <v>1</v>
      </c>
      <c r="I552">
        <v>0</v>
      </c>
      <c r="K552" s="1">
        <v>43316</v>
      </c>
      <c r="L552" t="s">
        <v>43</v>
      </c>
      <c r="M552" t="s">
        <v>488</v>
      </c>
      <c r="N552" s="1">
        <v>44193</v>
      </c>
      <c r="Q552">
        <v>2.85</v>
      </c>
      <c r="R552">
        <v>-24.02</v>
      </c>
      <c r="S552">
        <v>-10.86</v>
      </c>
      <c r="T552">
        <v>-6.39</v>
      </c>
      <c r="U552">
        <v>1.05</v>
      </c>
      <c r="V552">
        <v>2</v>
      </c>
      <c r="Y552">
        <v>0</v>
      </c>
      <c r="Z552">
        <v>-4.57</v>
      </c>
      <c r="AA552">
        <v>-5.34</v>
      </c>
      <c r="AB552">
        <v>-96.28</v>
      </c>
    </row>
    <row r="553" spans="1:28" hidden="1" x14ac:dyDescent="0.2">
      <c r="A553" t="s">
        <v>1250</v>
      </c>
      <c r="B553" t="s">
        <v>1251</v>
      </c>
      <c r="F553">
        <v>33</v>
      </c>
      <c r="H553">
        <v>1</v>
      </c>
      <c r="I553">
        <v>0</v>
      </c>
      <c r="K553" s="1">
        <v>43316</v>
      </c>
      <c r="L553" t="s">
        <v>99</v>
      </c>
      <c r="M553" t="s">
        <v>457</v>
      </c>
      <c r="N553" s="1">
        <v>44193</v>
      </c>
      <c r="Q553">
        <v>3.57</v>
      </c>
      <c r="R553">
        <v>-7.07</v>
      </c>
      <c r="S553">
        <v>0.21</v>
      </c>
      <c r="T553">
        <v>-0.05</v>
      </c>
      <c r="U553">
        <v>4.8</v>
      </c>
      <c r="V553">
        <v>4.74</v>
      </c>
      <c r="Y553">
        <v>2</v>
      </c>
      <c r="Z553">
        <v>8.8000000000000007</v>
      </c>
      <c r="AA553">
        <v>6.54</v>
      </c>
      <c r="AB553">
        <v>41.28</v>
      </c>
    </row>
    <row r="554" spans="1:28" hidden="1" x14ac:dyDescent="0.2">
      <c r="A554" t="s">
        <v>1252</v>
      </c>
      <c r="B554" t="s">
        <v>1253</v>
      </c>
      <c r="F554">
        <v>33</v>
      </c>
      <c r="H554">
        <v>1</v>
      </c>
      <c r="I554">
        <v>0</v>
      </c>
      <c r="K554" s="1">
        <v>43316</v>
      </c>
      <c r="L554" t="s">
        <v>39</v>
      </c>
      <c r="M554" t="s">
        <v>60</v>
      </c>
      <c r="N554" s="1">
        <v>44193</v>
      </c>
      <c r="Q554">
        <v>1.53</v>
      </c>
      <c r="R554">
        <v>-14.2</v>
      </c>
      <c r="S554">
        <v>0.6</v>
      </c>
      <c r="T554">
        <v>7.91</v>
      </c>
      <c r="U554">
        <v>8.11</v>
      </c>
      <c r="V554">
        <v>8.32</v>
      </c>
      <c r="Y554">
        <v>0</v>
      </c>
      <c r="Z554">
        <v>0.14000000000000001</v>
      </c>
      <c r="AA554">
        <v>0.08</v>
      </c>
      <c r="AB554">
        <v>0.15</v>
      </c>
    </row>
    <row r="555" spans="1:28" hidden="1" x14ac:dyDescent="0.2">
      <c r="A555" t="s">
        <v>1254</v>
      </c>
      <c r="B555" t="s">
        <v>1255</v>
      </c>
      <c r="L555" t="s">
        <v>43</v>
      </c>
      <c r="M555" t="s">
        <v>713</v>
      </c>
      <c r="N555" s="1">
        <v>44193</v>
      </c>
      <c r="Q555">
        <v>1.19</v>
      </c>
      <c r="R555">
        <v>6.67</v>
      </c>
      <c r="S555">
        <v>5.12</v>
      </c>
      <c r="T555">
        <v>23.65</v>
      </c>
      <c r="U555">
        <v>10.67</v>
      </c>
      <c r="V555">
        <v>-3.93</v>
      </c>
      <c r="Y555">
        <v>0</v>
      </c>
    </row>
    <row r="556" spans="1:28" hidden="1" x14ac:dyDescent="0.2">
      <c r="A556" t="s">
        <v>1256</v>
      </c>
      <c r="B556" t="s">
        <v>1257</v>
      </c>
      <c r="F556">
        <v>40</v>
      </c>
      <c r="G556">
        <v>3.1</v>
      </c>
      <c r="K556" s="1">
        <v>43716</v>
      </c>
      <c r="L556" t="s">
        <v>99</v>
      </c>
      <c r="M556" t="s">
        <v>258</v>
      </c>
      <c r="N556" s="1">
        <v>44193</v>
      </c>
      <c r="R556">
        <v>13.37</v>
      </c>
      <c r="S556">
        <v>12.69</v>
      </c>
      <c r="T556">
        <v>8.6199999999999992</v>
      </c>
      <c r="U556">
        <v>15.24</v>
      </c>
      <c r="V556" t="s">
        <v>32</v>
      </c>
      <c r="Y556">
        <v>2.2000000000000002</v>
      </c>
      <c r="Z556">
        <v>11.4</v>
      </c>
      <c r="AA556">
        <v>2.64</v>
      </c>
      <c r="AB556">
        <v>5.64</v>
      </c>
    </row>
    <row r="557" spans="1:28" hidden="1" x14ac:dyDescent="0.2">
      <c r="A557" t="s">
        <v>1258</v>
      </c>
      <c r="B557" t="s">
        <v>1259</v>
      </c>
      <c r="F557">
        <v>54</v>
      </c>
      <c r="H557">
        <v>1</v>
      </c>
      <c r="I557">
        <v>0</v>
      </c>
      <c r="K557" s="1">
        <v>43316</v>
      </c>
      <c r="L557" t="s">
        <v>35</v>
      </c>
      <c r="M557" t="s">
        <v>235</v>
      </c>
      <c r="N557" s="1">
        <v>44193</v>
      </c>
      <c r="Q557">
        <v>4.79</v>
      </c>
      <c r="R557">
        <v>-16.809999999999999</v>
      </c>
      <c r="S557">
        <v>-3.79</v>
      </c>
      <c r="T557">
        <v>7.25</v>
      </c>
      <c r="U557">
        <v>8.8699999999999992</v>
      </c>
      <c r="V557">
        <v>-2.2799999999999998</v>
      </c>
      <c r="Y557">
        <v>2.7</v>
      </c>
      <c r="Z557">
        <v>17.329999999999998</v>
      </c>
      <c r="AA557">
        <v>0.71</v>
      </c>
      <c r="AB557">
        <v>7.24</v>
      </c>
    </row>
    <row r="558" spans="1:28" hidden="1" x14ac:dyDescent="0.2">
      <c r="A558" t="s">
        <v>2103</v>
      </c>
      <c r="B558" t="s">
        <v>2104</v>
      </c>
      <c r="N558" s="1">
        <v>44197</v>
      </c>
      <c r="O558">
        <v>-115</v>
      </c>
      <c r="P558" t="s">
        <v>2403</v>
      </c>
      <c r="Q558" t="s">
        <v>32</v>
      </c>
      <c r="R558">
        <v>56.06</v>
      </c>
      <c r="S558">
        <v>50.86</v>
      </c>
      <c r="T558">
        <v>36.840000000000003</v>
      </c>
      <c r="U558" t="s">
        <v>32</v>
      </c>
      <c r="V558" t="s">
        <v>32</v>
      </c>
      <c r="X558">
        <v>92</v>
      </c>
      <c r="Y558">
        <v>11.5</v>
      </c>
      <c r="Z558">
        <v>-30.34</v>
      </c>
      <c r="AA558">
        <v>-10.17</v>
      </c>
      <c r="AB558">
        <v>-22.66</v>
      </c>
    </row>
    <row r="559" spans="1:28" hidden="1" x14ac:dyDescent="0.2">
      <c r="A559" t="s">
        <v>843</v>
      </c>
      <c r="B559" t="s">
        <v>844</v>
      </c>
      <c r="L559" t="s">
        <v>26</v>
      </c>
      <c r="M559" t="s">
        <v>238</v>
      </c>
      <c r="N559" s="1">
        <v>44197</v>
      </c>
      <c r="O559">
        <v>807</v>
      </c>
      <c r="P559" t="s">
        <v>2403</v>
      </c>
      <c r="Q559" t="s">
        <v>32</v>
      </c>
      <c r="R559">
        <v>56.74</v>
      </c>
      <c r="S559">
        <v>40.5</v>
      </c>
      <c r="T559">
        <v>28.74</v>
      </c>
      <c r="U559">
        <v>27.61</v>
      </c>
      <c r="V559">
        <v>18</v>
      </c>
      <c r="X559" t="s">
        <v>32</v>
      </c>
      <c r="Y559">
        <v>0</v>
      </c>
      <c r="Z559">
        <v>4.3899999999999997</v>
      </c>
      <c r="AA559">
        <v>11.07</v>
      </c>
      <c r="AB559">
        <v>40.03</v>
      </c>
    </row>
    <row r="560" spans="1:28" hidden="1" x14ac:dyDescent="0.2">
      <c r="A560" t="s">
        <v>1263</v>
      </c>
      <c r="B560" t="s">
        <v>1264</v>
      </c>
      <c r="N560" s="1">
        <v>44193</v>
      </c>
      <c r="Q560">
        <v>1.9</v>
      </c>
      <c r="R560">
        <v>6.2</v>
      </c>
      <c r="S560">
        <v>19.68</v>
      </c>
      <c r="T560">
        <v>12.89</v>
      </c>
      <c r="U560">
        <v>11.01</v>
      </c>
      <c r="V560">
        <v>9.86</v>
      </c>
      <c r="Y560">
        <v>0</v>
      </c>
      <c r="Z560">
        <v>3.77</v>
      </c>
      <c r="AA560">
        <v>11.71</v>
      </c>
      <c r="AB560">
        <v>29.02</v>
      </c>
    </row>
    <row r="561" spans="1:28" hidden="1" x14ac:dyDescent="0.2">
      <c r="A561" t="s">
        <v>1265</v>
      </c>
      <c r="B561" t="s">
        <v>1266</v>
      </c>
      <c r="N561" s="1">
        <v>44193</v>
      </c>
      <c r="Q561">
        <v>1</v>
      </c>
      <c r="R561">
        <v>6.87</v>
      </c>
      <c r="S561">
        <v>3.12</v>
      </c>
      <c r="T561">
        <v>7.05</v>
      </c>
      <c r="U561">
        <v>7.22</v>
      </c>
      <c r="V561">
        <v>6.34</v>
      </c>
      <c r="Y561">
        <v>0</v>
      </c>
      <c r="Z561">
        <v>0.89</v>
      </c>
      <c r="AA561">
        <v>0.6</v>
      </c>
      <c r="AB561">
        <v>1.26</v>
      </c>
    </row>
    <row r="562" spans="1:28" hidden="1" x14ac:dyDescent="0.2">
      <c r="A562" t="s">
        <v>1267</v>
      </c>
      <c r="B562" t="s">
        <v>1268</v>
      </c>
      <c r="F562">
        <v>29</v>
      </c>
      <c r="H562">
        <v>0</v>
      </c>
      <c r="I562">
        <v>0</v>
      </c>
      <c r="K562" s="1">
        <v>43316</v>
      </c>
      <c r="L562" t="s">
        <v>99</v>
      </c>
      <c r="M562" t="s">
        <v>457</v>
      </c>
      <c r="N562" s="1">
        <v>44193</v>
      </c>
      <c r="Q562">
        <v>4.8600000000000003</v>
      </c>
      <c r="R562">
        <v>14.38</v>
      </c>
      <c r="S562">
        <v>-19.59</v>
      </c>
      <c r="T562">
        <v>-9.27</v>
      </c>
      <c r="U562" t="s">
        <v>32</v>
      </c>
      <c r="V562" t="s">
        <v>32</v>
      </c>
      <c r="Y562">
        <v>3.1</v>
      </c>
      <c r="Z562">
        <v>-1.92</v>
      </c>
      <c r="AA562">
        <v>-0.49</v>
      </c>
      <c r="AB562">
        <v>-0.98</v>
      </c>
    </row>
    <row r="563" spans="1:28" hidden="1" x14ac:dyDescent="0.2">
      <c r="A563" t="s">
        <v>1269</v>
      </c>
      <c r="B563" t="s">
        <v>1270</v>
      </c>
      <c r="F563">
        <v>63</v>
      </c>
      <c r="H563">
        <v>1</v>
      </c>
      <c r="I563">
        <v>0</v>
      </c>
      <c r="K563" s="1">
        <v>43316</v>
      </c>
      <c r="L563" t="s">
        <v>71</v>
      </c>
      <c r="M563" t="s">
        <v>947</v>
      </c>
      <c r="N563" s="1">
        <v>44193</v>
      </c>
      <c r="Q563">
        <v>4.57</v>
      </c>
      <c r="R563">
        <v>-24.66</v>
      </c>
      <c r="S563">
        <v>-0.82</v>
      </c>
      <c r="T563">
        <v>-5.76</v>
      </c>
      <c r="U563">
        <v>3.24</v>
      </c>
      <c r="V563">
        <v>-0.62</v>
      </c>
      <c r="Y563">
        <v>31.5</v>
      </c>
      <c r="Z563">
        <v>80.28</v>
      </c>
      <c r="AA563">
        <v>7.7</v>
      </c>
      <c r="AB563">
        <v>16.78</v>
      </c>
    </row>
    <row r="564" spans="1:28" hidden="1" x14ac:dyDescent="0.2">
      <c r="A564" t="s">
        <v>1915</v>
      </c>
      <c r="B564" t="s">
        <v>1916</v>
      </c>
      <c r="N564" s="1">
        <v>44197</v>
      </c>
      <c r="O564">
        <v>183856</v>
      </c>
      <c r="P564" t="s">
        <v>2403</v>
      </c>
      <c r="Q564" t="s">
        <v>32</v>
      </c>
      <c r="R564">
        <v>58.92</v>
      </c>
      <c r="S564">
        <v>26.56</v>
      </c>
      <c r="T564">
        <v>32.69</v>
      </c>
      <c r="U564">
        <v>27.56</v>
      </c>
      <c r="V564" t="s">
        <v>32</v>
      </c>
      <c r="X564" t="s">
        <v>32</v>
      </c>
      <c r="Y564">
        <v>5.5</v>
      </c>
      <c r="Z564">
        <v>35.799999999999997</v>
      </c>
      <c r="AA564">
        <v>10.1</v>
      </c>
      <c r="AB564">
        <v>10.55</v>
      </c>
    </row>
    <row r="565" spans="1:28" hidden="1" x14ac:dyDescent="0.2">
      <c r="A565" t="s">
        <v>1273</v>
      </c>
      <c r="B565" t="s">
        <v>1273</v>
      </c>
      <c r="F565">
        <v>91</v>
      </c>
      <c r="H565">
        <v>1</v>
      </c>
      <c r="I565">
        <v>0</v>
      </c>
      <c r="J565" t="s">
        <v>68</v>
      </c>
      <c r="K565" s="1">
        <v>43316</v>
      </c>
      <c r="L565" t="s">
        <v>35</v>
      </c>
      <c r="M565" t="s">
        <v>50</v>
      </c>
      <c r="N565" s="1">
        <v>44193</v>
      </c>
      <c r="Q565">
        <v>1.4</v>
      </c>
      <c r="R565">
        <v>39.21</v>
      </c>
      <c r="S565">
        <v>25.14</v>
      </c>
      <c r="T565">
        <v>21.7</v>
      </c>
      <c r="U565">
        <v>13.09</v>
      </c>
      <c r="V565" t="s">
        <v>32</v>
      </c>
      <c r="Y565">
        <v>0</v>
      </c>
      <c r="Z565">
        <v>29.57</v>
      </c>
      <c r="AA565">
        <v>1.52</v>
      </c>
      <c r="AB565">
        <v>9.61</v>
      </c>
    </row>
    <row r="566" spans="1:28" hidden="1" x14ac:dyDescent="0.2">
      <c r="A566" s="4" t="s">
        <v>1009</v>
      </c>
      <c r="B566" t="s">
        <v>1010</v>
      </c>
      <c r="F566">
        <v>83</v>
      </c>
      <c r="H566">
        <v>0</v>
      </c>
      <c r="I566">
        <v>0</v>
      </c>
      <c r="J566" t="s">
        <v>53</v>
      </c>
      <c r="K566" s="1">
        <v>43316</v>
      </c>
      <c r="L566" t="s">
        <v>95</v>
      </c>
      <c r="M566" t="s">
        <v>232</v>
      </c>
      <c r="N566" s="1">
        <v>44197</v>
      </c>
      <c r="O566">
        <v>35713</v>
      </c>
      <c r="P566" t="s">
        <v>2403</v>
      </c>
      <c r="Q566" t="s">
        <v>32</v>
      </c>
      <c r="R566" s="6">
        <v>30.85</v>
      </c>
      <c r="S566" s="6">
        <v>18.489999999999998</v>
      </c>
      <c r="T566" s="6">
        <v>17.64</v>
      </c>
      <c r="U566" s="6">
        <v>14.58</v>
      </c>
      <c r="V566" s="6">
        <v>12.15</v>
      </c>
      <c r="W566" s="6"/>
      <c r="X566">
        <v>27773</v>
      </c>
      <c r="Y566">
        <v>1.5</v>
      </c>
      <c r="Z566">
        <v>20.8</v>
      </c>
      <c r="AA566">
        <v>12.7</v>
      </c>
      <c r="AB566">
        <v>17.510000000000002</v>
      </c>
    </row>
    <row r="567" spans="1:28" hidden="1" x14ac:dyDescent="0.2">
      <c r="A567" t="s">
        <v>1276</v>
      </c>
      <c r="B567" t="s">
        <v>1277</v>
      </c>
      <c r="F567">
        <v>40</v>
      </c>
      <c r="H567">
        <v>1</v>
      </c>
      <c r="I567">
        <v>0</v>
      </c>
      <c r="K567" s="1">
        <v>43316</v>
      </c>
      <c r="L567" t="s">
        <v>99</v>
      </c>
      <c r="M567" t="s">
        <v>561</v>
      </c>
      <c r="N567" s="1">
        <v>44193</v>
      </c>
      <c r="Q567">
        <v>3.04</v>
      </c>
      <c r="R567">
        <v>0.68</v>
      </c>
      <c r="S567">
        <v>6.63</v>
      </c>
      <c r="T567">
        <v>3.93</v>
      </c>
      <c r="U567">
        <v>10.57</v>
      </c>
      <c r="V567">
        <v>7.78</v>
      </c>
      <c r="Y567">
        <v>3.7</v>
      </c>
    </row>
    <row r="568" spans="1:28" hidden="1" x14ac:dyDescent="0.2">
      <c r="A568" t="s">
        <v>1278</v>
      </c>
      <c r="B568" t="s">
        <v>1279</v>
      </c>
      <c r="F568">
        <v>47</v>
      </c>
      <c r="H568">
        <v>1</v>
      </c>
      <c r="I568">
        <v>0</v>
      </c>
      <c r="K568" s="1">
        <v>43316</v>
      </c>
      <c r="L568" t="s">
        <v>226</v>
      </c>
      <c r="M568" t="s">
        <v>386</v>
      </c>
      <c r="N568" s="1">
        <v>44193</v>
      </c>
      <c r="Q568">
        <v>7.21</v>
      </c>
      <c r="R568">
        <v>-29.64</v>
      </c>
      <c r="S568">
        <v>-2.87</v>
      </c>
      <c r="T568">
        <v>1.76</v>
      </c>
      <c r="U568" t="s">
        <v>32</v>
      </c>
      <c r="V568" t="s">
        <v>32</v>
      </c>
      <c r="Y568">
        <v>2.2999999999999998</v>
      </c>
      <c r="Z568">
        <v>0.92</v>
      </c>
      <c r="AA568">
        <v>0.15</v>
      </c>
      <c r="AB568">
        <v>0.34</v>
      </c>
    </row>
    <row r="569" spans="1:28" hidden="1" x14ac:dyDescent="0.2">
      <c r="A569" t="s">
        <v>156</v>
      </c>
      <c r="B569" t="s">
        <v>157</v>
      </c>
      <c r="F569">
        <v>57</v>
      </c>
      <c r="H569">
        <v>1</v>
      </c>
      <c r="I569">
        <v>0</v>
      </c>
      <c r="K569" s="1">
        <v>43316</v>
      </c>
      <c r="L569" t="s">
        <v>43</v>
      </c>
      <c r="M569" t="s">
        <v>137</v>
      </c>
      <c r="N569" s="1">
        <v>44197</v>
      </c>
      <c r="O569">
        <v>690</v>
      </c>
      <c r="P569" t="s">
        <v>2403</v>
      </c>
      <c r="Q569" t="s">
        <v>32</v>
      </c>
      <c r="R569">
        <v>7.74</v>
      </c>
      <c r="S569">
        <v>13.78</v>
      </c>
      <c r="T569">
        <v>11.85</v>
      </c>
      <c r="U569">
        <v>11.47</v>
      </c>
      <c r="V569">
        <v>13.66</v>
      </c>
      <c r="X569" t="s">
        <v>32</v>
      </c>
      <c r="Y569">
        <v>1.6</v>
      </c>
      <c r="Z569">
        <v>3.76</v>
      </c>
      <c r="AA569">
        <v>3.33</v>
      </c>
      <c r="AB569">
        <v>18.170000000000002</v>
      </c>
    </row>
    <row r="570" spans="1:28" hidden="1" x14ac:dyDescent="0.2">
      <c r="A570" t="s">
        <v>1283</v>
      </c>
      <c r="B570" t="s">
        <v>1284</v>
      </c>
      <c r="F570">
        <v>48</v>
      </c>
      <c r="H570">
        <v>0</v>
      </c>
      <c r="I570">
        <v>0</v>
      </c>
      <c r="J570" t="s">
        <v>80</v>
      </c>
      <c r="K570" s="1">
        <v>43316</v>
      </c>
      <c r="L570" t="s">
        <v>99</v>
      </c>
      <c r="M570" t="s">
        <v>258</v>
      </c>
      <c r="N570" s="1">
        <v>44193</v>
      </c>
      <c r="Q570">
        <v>3.18</v>
      </c>
      <c r="R570">
        <v>0.68</v>
      </c>
      <c r="S570">
        <v>8.51</v>
      </c>
      <c r="T570">
        <v>7.02</v>
      </c>
      <c r="U570">
        <v>7.37</v>
      </c>
      <c r="V570">
        <v>8.56</v>
      </c>
      <c r="Y570">
        <v>4.5999999999999996</v>
      </c>
      <c r="Z570">
        <v>24.9</v>
      </c>
      <c r="AA570">
        <v>9.0299999999999994</v>
      </c>
      <c r="AB570">
        <v>44.66</v>
      </c>
    </row>
    <row r="571" spans="1:28" hidden="1" x14ac:dyDescent="0.2">
      <c r="A571" t="s">
        <v>1895</v>
      </c>
      <c r="B571" t="s">
        <v>1896</v>
      </c>
      <c r="N571" s="1">
        <v>44197</v>
      </c>
      <c r="O571">
        <v>-13</v>
      </c>
      <c r="P571" t="s">
        <v>2403</v>
      </c>
      <c r="Q571" t="s">
        <v>32</v>
      </c>
      <c r="R571">
        <v>505.83</v>
      </c>
      <c r="S571">
        <v>-8.77</v>
      </c>
      <c r="T571">
        <v>-2.23</v>
      </c>
      <c r="U571">
        <v>-5.23</v>
      </c>
      <c r="V571">
        <v>-5.13</v>
      </c>
      <c r="X571">
        <v>6</v>
      </c>
      <c r="Y571">
        <v>0</v>
      </c>
      <c r="Z571">
        <v>-37.11</v>
      </c>
      <c r="AA571">
        <v>-29.13</v>
      </c>
      <c r="AB571">
        <v>-43.78</v>
      </c>
    </row>
    <row r="572" spans="1:28" hidden="1" x14ac:dyDescent="0.2">
      <c r="A572" t="s">
        <v>310</v>
      </c>
      <c r="B572" t="s">
        <v>311</v>
      </c>
      <c r="N572" s="1">
        <v>44189</v>
      </c>
      <c r="P572">
        <v>425</v>
      </c>
      <c r="Q572">
        <v>4.83</v>
      </c>
      <c r="R572">
        <v>62.1</v>
      </c>
      <c r="S572">
        <v>29.26</v>
      </c>
      <c r="T572">
        <v>19.82</v>
      </c>
      <c r="U572" t="s">
        <v>32</v>
      </c>
      <c r="V572" t="s">
        <v>32</v>
      </c>
      <c r="Y572">
        <v>0</v>
      </c>
      <c r="Z572">
        <v>6.37</v>
      </c>
      <c r="AA572">
        <v>0.64</v>
      </c>
      <c r="AB572">
        <v>4.26</v>
      </c>
    </row>
    <row r="573" spans="1:28" hidden="1" x14ac:dyDescent="0.2">
      <c r="A573" t="s">
        <v>2141</v>
      </c>
      <c r="B573" t="s">
        <v>2142</v>
      </c>
      <c r="N573" s="1">
        <v>44197</v>
      </c>
      <c r="O573">
        <v>53</v>
      </c>
      <c r="P573" t="s">
        <v>2403</v>
      </c>
      <c r="Q573" t="s">
        <v>32</v>
      </c>
      <c r="R573">
        <v>62.31</v>
      </c>
      <c r="S573">
        <v>25.34</v>
      </c>
      <c r="T573">
        <v>31.19</v>
      </c>
      <c r="U573">
        <v>10.93</v>
      </c>
      <c r="V573" t="s">
        <v>32</v>
      </c>
      <c r="X573">
        <v>123</v>
      </c>
      <c r="Y573">
        <v>0</v>
      </c>
      <c r="Z573">
        <v>4.79</v>
      </c>
      <c r="AA573">
        <v>1.86</v>
      </c>
      <c r="AB573">
        <v>3.9</v>
      </c>
    </row>
    <row r="574" spans="1:28" hidden="1" x14ac:dyDescent="0.2">
      <c r="A574" t="s">
        <v>1291</v>
      </c>
      <c r="B574" t="s">
        <v>1292</v>
      </c>
      <c r="F574">
        <v>35</v>
      </c>
      <c r="G574">
        <v>3.1</v>
      </c>
      <c r="H574">
        <v>1</v>
      </c>
      <c r="I574">
        <v>0</v>
      </c>
      <c r="K574" s="1">
        <v>43316</v>
      </c>
      <c r="L574" t="s">
        <v>99</v>
      </c>
      <c r="M574" t="s">
        <v>481</v>
      </c>
      <c r="N574" s="1">
        <v>44193</v>
      </c>
      <c r="Q574">
        <v>2.06</v>
      </c>
      <c r="R574">
        <v>10.69</v>
      </c>
      <c r="S574">
        <v>5.53</v>
      </c>
      <c r="T574">
        <v>-4.2699999999999996</v>
      </c>
      <c r="U574">
        <v>12.62</v>
      </c>
      <c r="V574">
        <v>9.39</v>
      </c>
      <c r="Y574">
        <v>2</v>
      </c>
      <c r="Z574">
        <v>2.2599999999999998</v>
      </c>
      <c r="AA574">
        <v>6.29</v>
      </c>
      <c r="AB574">
        <v>31.12</v>
      </c>
    </row>
    <row r="575" spans="1:28" hidden="1" x14ac:dyDescent="0.2">
      <c r="A575" t="s">
        <v>1293</v>
      </c>
      <c r="B575" t="s">
        <v>1294</v>
      </c>
      <c r="N575" s="1">
        <v>44193</v>
      </c>
      <c r="R575">
        <v>8.75</v>
      </c>
      <c r="S575">
        <v>-17.399999999999999</v>
      </c>
      <c r="T575">
        <v>8.3699999999999992</v>
      </c>
      <c r="U575">
        <v>-1.18</v>
      </c>
      <c r="V575" t="s">
        <v>32</v>
      </c>
      <c r="Y575">
        <v>0</v>
      </c>
      <c r="Z575">
        <v>-14.4</v>
      </c>
      <c r="AA575">
        <v>-8.4499999999999993</v>
      </c>
      <c r="AB575">
        <v>-32.130000000000003</v>
      </c>
    </row>
    <row r="576" spans="1:28" hidden="1" x14ac:dyDescent="0.2">
      <c r="A576" t="s">
        <v>1295</v>
      </c>
      <c r="B576" t="s">
        <v>1296</v>
      </c>
      <c r="F576">
        <v>50</v>
      </c>
      <c r="H576">
        <v>0</v>
      </c>
      <c r="I576">
        <v>0</v>
      </c>
      <c r="K576" s="1">
        <v>43316</v>
      </c>
      <c r="L576" t="s">
        <v>43</v>
      </c>
      <c r="M576" t="s">
        <v>488</v>
      </c>
      <c r="N576" s="1">
        <v>44193</v>
      </c>
      <c r="Q576">
        <v>4.2699999999999996</v>
      </c>
      <c r="R576">
        <v>-22</v>
      </c>
      <c r="S576">
        <v>-5.88</v>
      </c>
      <c r="T576">
        <v>0.75</v>
      </c>
      <c r="U576">
        <v>0.42</v>
      </c>
      <c r="V576">
        <v>0.93</v>
      </c>
      <c r="Y576">
        <v>0</v>
      </c>
      <c r="Z576">
        <v>-1.45</v>
      </c>
      <c r="AA576">
        <v>-1.55</v>
      </c>
      <c r="AB576">
        <v>-4.7300000000000004</v>
      </c>
    </row>
    <row r="577" spans="1:28" hidden="1" x14ac:dyDescent="0.2">
      <c r="A577" s="4" t="s">
        <v>1299</v>
      </c>
      <c r="B577" s="4" t="s">
        <v>1300</v>
      </c>
      <c r="C577" s="4"/>
      <c r="D577" s="4"/>
      <c r="E577" s="4"/>
      <c r="F577" s="4">
        <v>68</v>
      </c>
      <c r="G577" s="4">
        <v>3.8</v>
      </c>
      <c r="H577" s="4"/>
      <c r="I577" s="4"/>
      <c r="J577" s="4" t="s">
        <v>53</v>
      </c>
      <c r="K577" s="1">
        <v>43716</v>
      </c>
      <c r="L577" s="4" t="s">
        <v>95</v>
      </c>
      <c r="M577" s="4" t="s">
        <v>913</v>
      </c>
      <c r="N577" s="1">
        <v>44197</v>
      </c>
      <c r="O577" s="4">
        <v>627</v>
      </c>
      <c r="P577" s="4" t="s">
        <v>2403</v>
      </c>
      <c r="Q577" s="4" t="s">
        <v>32</v>
      </c>
      <c r="R577" s="7">
        <v>28.71</v>
      </c>
      <c r="S577" s="4">
        <v>46.98</v>
      </c>
      <c r="T577" s="4">
        <v>36.06</v>
      </c>
      <c r="U577" s="4" t="s">
        <v>32</v>
      </c>
      <c r="V577" s="4" t="s">
        <v>32</v>
      </c>
      <c r="W577" s="4"/>
      <c r="X577" s="4">
        <v>715</v>
      </c>
      <c r="Y577">
        <v>0</v>
      </c>
      <c r="Z577">
        <v>14.85</v>
      </c>
      <c r="AA577">
        <v>9.06</v>
      </c>
      <c r="AB577">
        <v>19.899999999999999</v>
      </c>
    </row>
    <row r="578" spans="1:28" hidden="1" x14ac:dyDescent="0.2">
      <c r="A578" t="s">
        <v>2051</v>
      </c>
      <c r="B578" t="s">
        <v>2052</v>
      </c>
      <c r="N578" s="1">
        <v>44197</v>
      </c>
      <c r="O578">
        <v>1308</v>
      </c>
      <c r="P578" t="s">
        <v>2403</v>
      </c>
      <c r="Q578" t="s">
        <v>32</v>
      </c>
      <c r="R578">
        <v>66.510000000000005</v>
      </c>
      <c r="S578" t="s">
        <v>32</v>
      </c>
      <c r="T578" t="s">
        <v>32</v>
      </c>
      <c r="U578" t="s">
        <v>32</v>
      </c>
      <c r="V578" t="s">
        <v>32</v>
      </c>
      <c r="X578" t="s">
        <v>32</v>
      </c>
      <c r="Y578">
        <v>0</v>
      </c>
      <c r="Z578">
        <v>21.16</v>
      </c>
      <c r="AA578">
        <v>8.27</v>
      </c>
      <c r="AB578">
        <v>15.84</v>
      </c>
    </row>
    <row r="579" spans="1:28" hidden="1" x14ac:dyDescent="0.2">
      <c r="A579" t="s">
        <v>1301</v>
      </c>
      <c r="B579" t="s">
        <v>1302</v>
      </c>
      <c r="F579">
        <v>44</v>
      </c>
      <c r="G579">
        <v>3.3</v>
      </c>
      <c r="H579">
        <v>1</v>
      </c>
      <c r="I579">
        <v>0</v>
      </c>
      <c r="K579" s="1">
        <v>43716</v>
      </c>
      <c r="L579" t="s">
        <v>35</v>
      </c>
      <c r="M579" t="s">
        <v>129</v>
      </c>
      <c r="N579" s="1">
        <v>44193</v>
      </c>
      <c r="R579">
        <v>-13.99</v>
      </c>
      <c r="S579">
        <v>-3.41</v>
      </c>
      <c r="T579">
        <v>3.3</v>
      </c>
      <c r="U579">
        <v>1.78</v>
      </c>
      <c r="V579">
        <v>2.71</v>
      </c>
      <c r="Y579">
        <v>0</v>
      </c>
      <c r="Z579">
        <v>-8.64</v>
      </c>
      <c r="AA579">
        <v>-1.37</v>
      </c>
      <c r="AB579">
        <v>-6.04</v>
      </c>
    </row>
    <row r="580" spans="1:28" hidden="1" x14ac:dyDescent="0.2">
      <c r="A580" s="4" t="s">
        <v>1332</v>
      </c>
      <c r="B580" t="s">
        <v>1333</v>
      </c>
      <c r="F580">
        <v>78</v>
      </c>
      <c r="H580">
        <v>0</v>
      </c>
      <c r="I580">
        <v>0</v>
      </c>
      <c r="J580" t="s">
        <v>80</v>
      </c>
      <c r="K580" s="1">
        <v>43316</v>
      </c>
      <c r="L580" t="s">
        <v>95</v>
      </c>
      <c r="M580" t="s">
        <v>96</v>
      </c>
      <c r="N580" s="1">
        <v>44193</v>
      </c>
      <c r="O580">
        <v>4977</v>
      </c>
      <c r="Q580">
        <v>2.31</v>
      </c>
      <c r="R580" s="6">
        <v>28.48</v>
      </c>
      <c r="S580" s="6">
        <v>17.55</v>
      </c>
      <c r="T580" s="6">
        <v>25.27</v>
      </c>
      <c r="U580" s="6">
        <v>18.7</v>
      </c>
      <c r="V580" s="6">
        <v>12.07</v>
      </c>
      <c r="W580" s="6"/>
      <c r="X580">
        <v>1528</v>
      </c>
      <c r="Y580">
        <v>2.6</v>
      </c>
      <c r="Z580">
        <v>36.28</v>
      </c>
      <c r="AA580">
        <v>27.53</v>
      </c>
      <c r="AB580">
        <v>57.57</v>
      </c>
    </row>
    <row r="581" spans="1:28" hidden="1" x14ac:dyDescent="0.2">
      <c r="A581" s="4" t="s">
        <v>619</v>
      </c>
      <c r="B581" t="s">
        <v>620</v>
      </c>
      <c r="F581">
        <v>69</v>
      </c>
      <c r="H581">
        <v>0</v>
      </c>
      <c r="I581">
        <v>0</v>
      </c>
      <c r="J581" t="s">
        <v>53</v>
      </c>
      <c r="K581" s="1">
        <v>43316</v>
      </c>
      <c r="L581" t="s">
        <v>99</v>
      </c>
      <c r="M581" t="s">
        <v>621</v>
      </c>
      <c r="N581" s="1">
        <v>44192</v>
      </c>
      <c r="Q581">
        <v>0.7</v>
      </c>
      <c r="R581" s="6">
        <v>28.24</v>
      </c>
      <c r="S581" s="6">
        <v>26.97</v>
      </c>
      <c r="T581" s="6">
        <v>19.41</v>
      </c>
      <c r="U581" s="6">
        <v>18.989999999999998</v>
      </c>
      <c r="V581" s="6">
        <v>15.14</v>
      </c>
      <c r="W581" s="6"/>
      <c r="Y581">
        <v>3.9</v>
      </c>
      <c r="Z581">
        <v>2.5</v>
      </c>
      <c r="AA581">
        <v>7.75</v>
      </c>
      <c r="AB581">
        <v>28.15</v>
      </c>
    </row>
    <row r="582" spans="1:28" hidden="1" x14ac:dyDescent="0.2">
      <c r="A582" t="s">
        <v>1307</v>
      </c>
      <c r="B582" t="s">
        <v>1308</v>
      </c>
      <c r="F582">
        <v>60</v>
      </c>
      <c r="H582">
        <v>1</v>
      </c>
      <c r="I582">
        <v>0</v>
      </c>
      <c r="K582" s="1">
        <v>43316</v>
      </c>
      <c r="L582" t="s">
        <v>43</v>
      </c>
      <c r="M582" t="s">
        <v>88</v>
      </c>
      <c r="N582" s="1">
        <v>44193</v>
      </c>
      <c r="Q582">
        <v>1.55</v>
      </c>
      <c r="R582">
        <v>115.48</v>
      </c>
      <c r="S582">
        <v>-11.27</v>
      </c>
      <c r="T582">
        <v>-12.5</v>
      </c>
      <c r="U582">
        <v>7.83</v>
      </c>
      <c r="V582">
        <v>8.19</v>
      </c>
      <c r="Y582">
        <v>0</v>
      </c>
    </row>
    <row r="583" spans="1:28" hidden="1" x14ac:dyDescent="0.2">
      <c r="A583" t="s">
        <v>1217</v>
      </c>
      <c r="B583" t="s">
        <v>1218</v>
      </c>
      <c r="H583">
        <v>1</v>
      </c>
      <c r="I583">
        <v>0</v>
      </c>
      <c r="J583" t="s">
        <v>68</v>
      </c>
      <c r="K583" s="1">
        <v>43316</v>
      </c>
      <c r="L583" t="s">
        <v>213</v>
      </c>
      <c r="M583" t="s">
        <v>549</v>
      </c>
    </row>
    <row r="584" spans="1:28" hidden="1" x14ac:dyDescent="0.2">
      <c r="A584" t="s">
        <v>1311</v>
      </c>
      <c r="B584" t="s">
        <v>1312</v>
      </c>
      <c r="F584">
        <v>49</v>
      </c>
      <c r="H584">
        <v>1</v>
      </c>
      <c r="I584">
        <v>0</v>
      </c>
      <c r="K584" s="1">
        <v>43316</v>
      </c>
      <c r="L584" t="s">
        <v>95</v>
      </c>
      <c r="M584" t="s">
        <v>511</v>
      </c>
      <c r="N584" s="1">
        <v>44193</v>
      </c>
      <c r="Q584">
        <v>1.35</v>
      </c>
      <c r="R584">
        <v>7.72</v>
      </c>
      <c r="S584">
        <v>18.38</v>
      </c>
      <c r="T584">
        <v>16.84</v>
      </c>
      <c r="U584">
        <v>9.23</v>
      </c>
      <c r="V584" t="s">
        <v>32</v>
      </c>
      <c r="Y584">
        <v>0</v>
      </c>
      <c r="Z584">
        <v>5.0999999999999996</v>
      </c>
      <c r="AA584">
        <v>5.64</v>
      </c>
      <c r="AB584">
        <v>17.61</v>
      </c>
    </row>
    <row r="585" spans="1:28" hidden="1" x14ac:dyDescent="0.2">
      <c r="A585" t="s">
        <v>1313</v>
      </c>
      <c r="B585" t="s">
        <v>1314</v>
      </c>
      <c r="F585">
        <v>61</v>
      </c>
      <c r="G585">
        <v>3.6</v>
      </c>
      <c r="K585" s="1">
        <v>43716</v>
      </c>
      <c r="L585" t="s">
        <v>43</v>
      </c>
      <c r="M585" t="s">
        <v>169</v>
      </c>
      <c r="N585" s="1">
        <v>44193</v>
      </c>
      <c r="Q585">
        <v>1.06</v>
      </c>
      <c r="R585">
        <v>15.51</v>
      </c>
      <c r="S585">
        <v>-2.11</v>
      </c>
      <c r="T585">
        <v>6.37</v>
      </c>
      <c r="U585">
        <v>13.28</v>
      </c>
      <c r="V585" t="s">
        <v>32</v>
      </c>
      <c r="Y585">
        <v>3.1</v>
      </c>
      <c r="Z585">
        <v>0.66</v>
      </c>
      <c r="AA585">
        <v>0.85</v>
      </c>
      <c r="AB585">
        <v>2.62</v>
      </c>
    </row>
    <row r="586" spans="1:28" hidden="1" x14ac:dyDescent="0.2">
      <c r="A586" t="s">
        <v>1315</v>
      </c>
      <c r="B586" t="s">
        <v>1316</v>
      </c>
      <c r="F586">
        <v>57</v>
      </c>
      <c r="H586">
        <v>1</v>
      </c>
      <c r="I586">
        <v>0</v>
      </c>
      <c r="K586" s="1">
        <v>43316</v>
      </c>
      <c r="L586" t="s">
        <v>43</v>
      </c>
      <c r="M586" t="s">
        <v>435</v>
      </c>
      <c r="N586" s="1">
        <v>44193</v>
      </c>
      <c r="Q586">
        <v>3.71</v>
      </c>
      <c r="R586">
        <v>-13.4</v>
      </c>
      <c r="S586">
        <v>7.0000000000000007E-2</v>
      </c>
      <c r="T586">
        <v>3.12</v>
      </c>
      <c r="U586">
        <v>9.2899999999999991</v>
      </c>
      <c r="V586">
        <v>6.59</v>
      </c>
      <c r="Y586">
        <v>0</v>
      </c>
      <c r="Z586">
        <v>5.45</v>
      </c>
      <c r="AA586">
        <v>4.8600000000000003</v>
      </c>
      <c r="AB586">
        <v>18.100000000000001</v>
      </c>
    </row>
    <row r="587" spans="1:28" hidden="1" x14ac:dyDescent="0.2">
      <c r="A587" t="s">
        <v>1317</v>
      </c>
      <c r="B587" t="s">
        <v>1318</v>
      </c>
      <c r="F587">
        <v>52</v>
      </c>
      <c r="H587">
        <v>1</v>
      </c>
      <c r="I587">
        <v>0</v>
      </c>
      <c r="K587" s="1">
        <v>43316</v>
      </c>
      <c r="L587" t="s">
        <v>43</v>
      </c>
      <c r="M587" t="s">
        <v>713</v>
      </c>
      <c r="N587" s="1">
        <v>44193</v>
      </c>
      <c r="Q587">
        <v>0.82</v>
      </c>
      <c r="R587">
        <v>42.73</v>
      </c>
      <c r="S587">
        <v>8.34</v>
      </c>
      <c r="T587">
        <v>11.26</v>
      </c>
      <c r="U587">
        <v>16.559999999999999</v>
      </c>
      <c r="V587">
        <v>2.2599999999999998</v>
      </c>
      <c r="Y587">
        <v>0.7</v>
      </c>
      <c r="Z587">
        <v>9.86</v>
      </c>
      <c r="AA587">
        <v>7.59</v>
      </c>
      <c r="AB587">
        <v>13.71</v>
      </c>
    </row>
    <row r="588" spans="1:28" hidden="1" x14ac:dyDescent="0.2">
      <c r="A588" t="s">
        <v>1319</v>
      </c>
      <c r="B588" t="s">
        <v>1320</v>
      </c>
      <c r="H588">
        <v>1</v>
      </c>
      <c r="I588">
        <v>0</v>
      </c>
      <c r="L588" t="s">
        <v>43</v>
      </c>
      <c r="M588" t="s">
        <v>85</v>
      </c>
      <c r="N588" s="1">
        <v>44193</v>
      </c>
      <c r="Q588">
        <v>0.87</v>
      </c>
      <c r="R588">
        <v>5.81</v>
      </c>
      <c r="S588" t="s">
        <v>32</v>
      </c>
      <c r="T588" t="s">
        <v>32</v>
      </c>
      <c r="U588" t="s">
        <v>32</v>
      </c>
      <c r="V588" t="s">
        <v>32</v>
      </c>
      <c r="Y588">
        <v>0</v>
      </c>
      <c r="Z588">
        <v>-1.91</v>
      </c>
      <c r="AA588">
        <v>-1.83</v>
      </c>
      <c r="AB588">
        <v>-6.68</v>
      </c>
    </row>
    <row r="589" spans="1:28" hidden="1" x14ac:dyDescent="0.2">
      <c r="A589" t="s">
        <v>1321</v>
      </c>
      <c r="B589" t="s">
        <v>1322</v>
      </c>
      <c r="L589" t="s">
        <v>35</v>
      </c>
      <c r="M589" t="s">
        <v>132</v>
      </c>
      <c r="N589" s="1">
        <v>44193</v>
      </c>
      <c r="Q589">
        <v>4.58</v>
      </c>
      <c r="R589">
        <v>-16.600000000000001</v>
      </c>
      <c r="S589">
        <v>-9.42</v>
      </c>
      <c r="T589">
        <v>-6.15</v>
      </c>
      <c r="U589">
        <v>-4.1399999999999997</v>
      </c>
      <c r="V589">
        <v>8.19</v>
      </c>
      <c r="Y589">
        <v>3.2</v>
      </c>
      <c r="Z589">
        <v>6.52</v>
      </c>
      <c r="AA589">
        <v>1.38</v>
      </c>
      <c r="AB589">
        <v>13.06</v>
      </c>
    </row>
    <row r="590" spans="1:28" hidden="1" x14ac:dyDescent="0.2">
      <c r="A590" t="s">
        <v>608</v>
      </c>
      <c r="B590" t="s">
        <v>609</v>
      </c>
      <c r="F590">
        <v>40</v>
      </c>
      <c r="H590">
        <v>1</v>
      </c>
      <c r="I590">
        <v>0</v>
      </c>
      <c r="K590" s="1">
        <v>43316</v>
      </c>
      <c r="L590" t="s">
        <v>26</v>
      </c>
      <c r="M590" t="s">
        <v>27</v>
      </c>
      <c r="N590" s="1">
        <v>44197</v>
      </c>
      <c r="O590">
        <v>845</v>
      </c>
      <c r="P590" t="s">
        <v>2403</v>
      </c>
      <c r="Q590" t="s">
        <v>32</v>
      </c>
      <c r="R590">
        <v>20.32</v>
      </c>
      <c r="S590">
        <v>8.4700000000000006</v>
      </c>
      <c r="T590">
        <v>10.48</v>
      </c>
      <c r="U590">
        <v>8.76</v>
      </c>
      <c r="V590">
        <v>9.27</v>
      </c>
      <c r="X590" t="s">
        <v>32</v>
      </c>
      <c r="Y590">
        <v>1.9</v>
      </c>
      <c r="Z590">
        <v>6.79</v>
      </c>
      <c r="AA590">
        <v>4.62</v>
      </c>
      <c r="AB590">
        <v>10.92</v>
      </c>
    </row>
    <row r="591" spans="1:28" hidden="1" x14ac:dyDescent="0.2">
      <c r="A591" s="2" t="s">
        <v>1511</v>
      </c>
      <c r="B591" t="s">
        <v>1512</v>
      </c>
      <c r="F591">
        <v>53</v>
      </c>
      <c r="G591">
        <v>3.6</v>
      </c>
      <c r="J591" t="s">
        <v>80</v>
      </c>
      <c r="K591" s="1">
        <v>44138</v>
      </c>
      <c r="L591" t="s">
        <v>43</v>
      </c>
      <c r="M591" t="s">
        <v>47</v>
      </c>
      <c r="N591" s="1">
        <v>44197</v>
      </c>
      <c r="O591">
        <v>28717</v>
      </c>
      <c r="P591" t="s">
        <v>2403</v>
      </c>
      <c r="Q591" t="s">
        <v>32</v>
      </c>
      <c r="R591">
        <v>149.5</v>
      </c>
      <c r="S591">
        <v>28.51</v>
      </c>
      <c r="T591">
        <v>22.19</v>
      </c>
      <c r="U591" t="s">
        <v>32</v>
      </c>
      <c r="V591" t="s">
        <v>32</v>
      </c>
      <c r="X591">
        <v>15237</v>
      </c>
      <c r="Y591">
        <v>1.1000000000000001</v>
      </c>
      <c r="Z591">
        <v>4.1500000000000004</v>
      </c>
      <c r="AA591">
        <v>9.26</v>
      </c>
      <c r="AB591">
        <v>25.36</v>
      </c>
    </row>
    <row r="592" spans="1:28" hidden="1" x14ac:dyDescent="0.2">
      <c r="A592" t="s">
        <v>1591</v>
      </c>
      <c r="B592" t="s">
        <v>1592</v>
      </c>
      <c r="H592">
        <v>1</v>
      </c>
      <c r="I592">
        <v>0</v>
      </c>
      <c r="K592" s="1">
        <v>43316</v>
      </c>
      <c r="L592" t="s">
        <v>213</v>
      </c>
      <c r="M592" t="s">
        <v>214</v>
      </c>
      <c r="N592" s="1">
        <v>44197</v>
      </c>
      <c r="O592">
        <v>-616</v>
      </c>
      <c r="P592" t="s">
        <v>2403</v>
      </c>
      <c r="Q592" t="s">
        <v>32</v>
      </c>
      <c r="R592">
        <v>-40.049999999999997</v>
      </c>
      <c r="S592">
        <v>-16.8</v>
      </c>
      <c r="T592">
        <v>-22.96</v>
      </c>
      <c r="U592" t="s">
        <v>32</v>
      </c>
      <c r="V592" t="s">
        <v>32</v>
      </c>
      <c r="X592" t="s">
        <v>32</v>
      </c>
      <c r="Y592">
        <v>0</v>
      </c>
      <c r="Z592">
        <v>-16.91</v>
      </c>
      <c r="AA592">
        <v>-4.38</v>
      </c>
      <c r="AB592">
        <v>-21.24</v>
      </c>
    </row>
    <row r="593" spans="1:28" hidden="1" x14ac:dyDescent="0.2">
      <c r="A593" t="s">
        <v>1329</v>
      </c>
      <c r="B593" t="s">
        <v>1329</v>
      </c>
      <c r="F593">
        <v>49</v>
      </c>
      <c r="H593">
        <v>1</v>
      </c>
      <c r="I593">
        <v>0</v>
      </c>
      <c r="K593" s="1">
        <v>43316</v>
      </c>
      <c r="L593" t="s">
        <v>43</v>
      </c>
      <c r="M593" t="s">
        <v>169</v>
      </c>
      <c r="N593" s="1">
        <v>44193</v>
      </c>
      <c r="R593">
        <v>1.03</v>
      </c>
      <c r="S593">
        <v>-3.87</v>
      </c>
      <c r="T593">
        <v>4.22</v>
      </c>
      <c r="U593">
        <v>12.36</v>
      </c>
      <c r="V593">
        <v>15.15</v>
      </c>
      <c r="Y593">
        <v>1.5</v>
      </c>
      <c r="Z593">
        <v>5.12</v>
      </c>
      <c r="AA593">
        <v>4.87</v>
      </c>
      <c r="AB593">
        <v>11.71</v>
      </c>
    </row>
    <row r="594" spans="1:28" hidden="1" x14ac:dyDescent="0.2">
      <c r="A594" s="4" t="s">
        <v>378</v>
      </c>
      <c r="B594" t="s">
        <v>379</v>
      </c>
      <c r="F594">
        <v>61</v>
      </c>
      <c r="H594">
        <v>1</v>
      </c>
      <c r="I594">
        <v>0</v>
      </c>
      <c r="J594" t="s">
        <v>53</v>
      </c>
      <c r="K594" s="1">
        <v>43316</v>
      </c>
      <c r="L594" t="s">
        <v>39</v>
      </c>
      <c r="M594" t="s">
        <v>329</v>
      </c>
      <c r="N594" s="1">
        <v>44192</v>
      </c>
      <c r="Q594">
        <v>0.99</v>
      </c>
      <c r="R594" s="6">
        <v>27.19</v>
      </c>
      <c r="S594" s="6">
        <v>30.24</v>
      </c>
      <c r="T594" s="6">
        <v>30.72</v>
      </c>
      <c r="U594">
        <v>28.73</v>
      </c>
      <c r="V594" s="6">
        <v>15.46</v>
      </c>
      <c r="W594" s="6"/>
      <c r="Y594">
        <v>3.5</v>
      </c>
      <c r="Z594">
        <v>13.18</v>
      </c>
      <c r="AA594">
        <v>11.78</v>
      </c>
      <c r="AB594">
        <v>27.8</v>
      </c>
    </row>
    <row r="595" spans="1:28" hidden="1" x14ac:dyDescent="0.2">
      <c r="A595" t="s">
        <v>1928</v>
      </c>
      <c r="B595" t="s">
        <v>1929</v>
      </c>
      <c r="N595" s="1">
        <v>44197</v>
      </c>
      <c r="O595">
        <v>-9</v>
      </c>
      <c r="P595" t="s">
        <v>2403</v>
      </c>
      <c r="Q595" t="s">
        <v>32</v>
      </c>
      <c r="R595">
        <v>-2.21</v>
      </c>
      <c r="S595">
        <v>-3.28</v>
      </c>
      <c r="T595">
        <v>22.27</v>
      </c>
      <c r="U595">
        <v>-3.69</v>
      </c>
      <c r="V595" t="s">
        <v>32</v>
      </c>
      <c r="X595">
        <v>22</v>
      </c>
      <c r="Y595">
        <v>0</v>
      </c>
      <c r="Z595">
        <v>-3.62</v>
      </c>
      <c r="AA595">
        <v>-3.2</v>
      </c>
      <c r="AB595">
        <v>-5.07</v>
      </c>
    </row>
    <row r="596" spans="1:28" hidden="1" x14ac:dyDescent="0.2">
      <c r="A596" t="s">
        <v>1334</v>
      </c>
      <c r="B596" t="s">
        <v>1335</v>
      </c>
      <c r="F596">
        <v>72</v>
      </c>
      <c r="G596">
        <v>4</v>
      </c>
      <c r="H596">
        <v>1</v>
      </c>
      <c r="I596">
        <v>0</v>
      </c>
      <c r="K596" s="1">
        <v>44138</v>
      </c>
      <c r="L596" t="s">
        <v>26</v>
      </c>
      <c r="M596" t="s">
        <v>202</v>
      </c>
      <c r="N596" s="1">
        <v>44193</v>
      </c>
      <c r="O596">
        <v>5573</v>
      </c>
      <c r="Q596">
        <v>2.0299999999999998</v>
      </c>
      <c r="R596">
        <v>29.37</v>
      </c>
      <c r="S596">
        <v>27.05</v>
      </c>
      <c r="T596">
        <v>15.77</v>
      </c>
      <c r="U596">
        <v>18.25</v>
      </c>
      <c r="V596">
        <v>8.5500000000000007</v>
      </c>
      <c r="X596">
        <v>5829</v>
      </c>
      <c r="Y596">
        <v>1.2</v>
      </c>
      <c r="Z596">
        <v>24.01</v>
      </c>
      <c r="AA596">
        <v>13.62</v>
      </c>
      <c r="AB596">
        <v>135.76</v>
      </c>
    </row>
    <row r="597" spans="1:28" hidden="1" x14ac:dyDescent="0.2">
      <c r="A597" t="s">
        <v>1757</v>
      </c>
      <c r="B597" t="s">
        <v>1758</v>
      </c>
      <c r="L597" t="s">
        <v>39</v>
      </c>
      <c r="M597" t="s">
        <v>748</v>
      </c>
      <c r="N597" s="1">
        <v>44193</v>
      </c>
      <c r="Q597">
        <v>0.28999999999999998</v>
      </c>
      <c r="R597">
        <v>73.36</v>
      </c>
      <c r="S597">
        <v>21.84</v>
      </c>
      <c r="T597">
        <v>28.08</v>
      </c>
      <c r="U597">
        <v>13.68</v>
      </c>
      <c r="V597">
        <v>11.69</v>
      </c>
      <c r="Y597">
        <v>0</v>
      </c>
      <c r="Z597">
        <v>3.45</v>
      </c>
      <c r="AA597">
        <v>4.58</v>
      </c>
      <c r="AB597">
        <v>9.77</v>
      </c>
    </row>
    <row r="598" spans="1:28" hidden="1" x14ac:dyDescent="0.2">
      <c r="A598" t="s">
        <v>1338</v>
      </c>
      <c r="B598" t="s">
        <v>1339</v>
      </c>
      <c r="F598">
        <v>60</v>
      </c>
      <c r="H598">
        <v>1</v>
      </c>
      <c r="I598">
        <v>1</v>
      </c>
      <c r="K598" s="1">
        <v>43316</v>
      </c>
      <c r="L598" t="s">
        <v>39</v>
      </c>
      <c r="M598" t="s">
        <v>60</v>
      </c>
      <c r="N598" s="1">
        <v>44193</v>
      </c>
      <c r="Q598">
        <v>2.68</v>
      </c>
      <c r="R598">
        <v>-7.28</v>
      </c>
      <c r="S598">
        <v>6.02</v>
      </c>
      <c r="T598">
        <v>12.46</v>
      </c>
      <c r="U598">
        <v>19.670000000000002</v>
      </c>
      <c r="V598">
        <v>13.53</v>
      </c>
      <c r="Y598">
        <v>1.8</v>
      </c>
      <c r="Z598">
        <v>10.18</v>
      </c>
      <c r="AA598">
        <v>13.07</v>
      </c>
      <c r="AB598">
        <v>147.84</v>
      </c>
    </row>
    <row r="599" spans="1:28" hidden="1" x14ac:dyDescent="0.2">
      <c r="A599" t="s">
        <v>1340</v>
      </c>
      <c r="B599" t="s">
        <v>1341</v>
      </c>
      <c r="F599">
        <v>49</v>
      </c>
      <c r="G599">
        <v>3.2</v>
      </c>
      <c r="H599">
        <v>1</v>
      </c>
      <c r="I599">
        <v>0</v>
      </c>
      <c r="K599" s="1">
        <v>43716</v>
      </c>
      <c r="L599" t="s">
        <v>35</v>
      </c>
      <c r="M599" t="s">
        <v>132</v>
      </c>
      <c r="N599" s="1">
        <v>44193</v>
      </c>
      <c r="Q599">
        <v>3.39</v>
      </c>
      <c r="R599">
        <v>-13.06</v>
      </c>
      <c r="S599">
        <v>-11.36</v>
      </c>
      <c r="T599">
        <v>2.14</v>
      </c>
      <c r="U599">
        <v>7.58</v>
      </c>
      <c r="V599">
        <v>1.1299999999999999</v>
      </c>
      <c r="Y599">
        <v>0</v>
      </c>
      <c r="Z599">
        <v>4.47</v>
      </c>
      <c r="AA599">
        <v>0.23</v>
      </c>
      <c r="AB599">
        <v>3.79</v>
      </c>
    </row>
    <row r="600" spans="1:28" hidden="1" x14ac:dyDescent="0.2">
      <c r="A600" t="s">
        <v>1342</v>
      </c>
      <c r="B600" t="s">
        <v>1343</v>
      </c>
      <c r="L600" t="s">
        <v>226</v>
      </c>
      <c r="M600" t="s">
        <v>386</v>
      </c>
    </row>
    <row r="601" spans="1:28" hidden="1" x14ac:dyDescent="0.2">
      <c r="A601" t="s">
        <v>1344</v>
      </c>
      <c r="B601" t="s">
        <v>1345</v>
      </c>
      <c r="F601">
        <v>71</v>
      </c>
      <c r="H601">
        <v>1</v>
      </c>
      <c r="I601">
        <v>0</v>
      </c>
      <c r="K601" s="1">
        <v>43316</v>
      </c>
      <c r="L601" t="s">
        <v>113</v>
      </c>
      <c r="M601" t="s">
        <v>124</v>
      </c>
      <c r="N601" s="1">
        <v>44193</v>
      </c>
      <c r="Q601">
        <v>2.89</v>
      </c>
      <c r="R601">
        <v>-5.03</v>
      </c>
      <c r="S601">
        <v>8.51</v>
      </c>
      <c r="T601">
        <v>12.6</v>
      </c>
      <c r="U601">
        <v>12.75</v>
      </c>
      <c r="V601">
        <v>10.71</v>
      </c>
      <c r="Y601">
        <v>3.4</v>
      </c>
      <c r="Z601">
        <v>19.010000000000002</v>
      </c>
      <c r="AA601">
        <v>3.88</v>
      </c>
      <c r="AB601">
        <v>12.38</v>
      </c>
    </row>
    <row r="602" spans="1:28" hidden="1" x14ac:dyDescent="0.2">
      <c r="A602" t="s">
        <v>1346</v>
      </c>
      <c r="B602" t="s">
        <v>1347</v>
      </c>
      <c r="N602" s="1">
        <v>44193</v>
      </c>
      <c r="O602">
        <v>877</v>
      </c>
      <c r="Q602">
        <v>5.03</v>
      </c>
      <c r="R602">
        <v>36.200000000000003</v>
      </c>
      <c r="S602">
        <v>18.8</v>
      </c>
      <c r="T602">
        <v>0</v>
      </c>
      <c r="U602">
        <v>6.1</v>
      </c>
      <c r="V602">
        <v>6.48</v>
      </c>
      <c r="X602">
        <v>1328</v>
      </c>
      <c r="Y602">
        <v>8</v>
      </c>
      <c r="Z602">
        <v>1.57</v>
      </c>
      <c r="AA602">
        <v>2.41</v>
      </c>
      <c r="AB602">
        <v>18.809999999999999</v>
      </c>
    </row>
    <row r="603" spans="1:28" hidden="1" x14ac:dyDescent="0.2">
      <c r="A603" t="s">
        <v>970</v>
      </c>
      <c r="B603" t="s">
        <v>971</v>
      </c>
      <c r="N603" s="1">
        <v>44194</v>
      </c>
      <c r="R603">
        <v>73.69</v>
      </c>
      <c r="S603">
        <v>58.76</v>
      </c>
      <c r="T603" t="s">
        <v>32</v>
      </c>
      <c r="U603" t="s">
        <v>32</v>
      </c>
      <c r="V603" t="s">
        <v>32</v>
      </c>
      <c r="Y603">
        <v>0</v>
      </c>
      <c r="Z603">
        <v>-10.61</v>
      </c>
      <c r="AA603">
        <v>-1.57</v>
      </c>
      <c r="AB603">
        <v>-5.09</v>
      </c>
    </row>
    <row r="604" spans="1:28" hidden="1" x14ac:dyDescent="0.2">
      <c r="A604" t="s">
        <v>1350</v>
      </c>
      <c r="B604" t="s">
        <v>1351</v>
      </c>
      <c r="F604">
        <v>78</v>
      </c>
      <c r="H604">
        <v>1</v>
      </c>
      <c r="I604">
        <v>0</v>
      </c>
      <c r="J604" t="s">
        <v>68</v>
      </c>
      <c r="K604" s="1">
        <v>43316</v>
      </c>
      <c r="L604" t="s">
        <v>95</v>
      </c>
      <c r="M604" t="s">
        <v>187</v>
      </c>
      <c r="N604" s="1">
        <v>44193</v>
      </c>
      <c r="O604">
        <v>2609</v>
      </c>
      <c r="Q604">
        <v>1.05</v>
      </c>
      <c r="R604">
        <v>64.78</v>
      </c>
      <c r="S604">
        <v>38.270000000000003</v>
      </c>
      <c r="T604">
        <v>43.94</v>
      </c>
      <c r="U604">
        <v>25.33</v>
      </c>
      <c r="V604">
        <v>19.03</v>
      </c>
      <c r="X604">
        <v>1321</v>
      </c>
      <c r="Y604">
        <v>1.5</v>
      </c>
      <c r="Z604">
        <v>23.6</v>
      </c>
      <c r="AA604">
        <v>19.05</v>
      </c>
      <c r="AB604">
        <v>50.16</v>
      </c>
    </row>
    <row r="605" spans="1:28" hidden="1" x14ac:dyDescent="0.2">
      <c r="A605" t="s">
        <v>357</v>
      </c>
      <c r="B605" t="s">
        <v>358</v>
      </c>
      <c r="L605" t="s">
        <v>43</v>
      </c>
      <c r="M605" t="s">
        <v>351</v>
      </c>
      <c r="N605" s="1">
        <v>44197</v>
      </c>
      <c r="O605">
        <v>264</v>
      </c>
      <c r="P605" t="s">
        <v>2403</v>
      </c>
      <c r="Q605" t="s">
        <v>32</v>
      </c>
      <c r="R605">
        <v>-10.65</v>
      </c>
      <c r="S605">
        <v>2.88</v>
      </c>
      <c r="T605" t="s">
        <v>32</v>
      </c>
      <c r="U605" t="s">
        <v>32</v>
      </c>
      <c r="V605" t="s">
        <v>32</v>
      </c>
      <c r="X605" t="s">
        <v>32</v>
      </c>
      <c r="Y605">
        <v>0</v>
      </c>
      <c r="Z605">
        <v>3.34</v>
      </c>
      <c r="AA605">
        <v>0.84</v>
      </c>
      <c r="AB605">
        <v>2.63</v>
      </c>
    </row>
    <row r="606" spans="1:28" hidden="1" x14ac:dyDescent="0.2">
      <c r="A606" t="s">
        <v>1934</v>
      </c>
      <c r="B606" t="s">
        <v>1935</v>
      </c>
      <c r="N606" s="1">
        <v>44197</v>
      </c>
      <c r="O606">
        <v>264</v>
      </c>
      <c r="P606" t="s">
        <v>2403</v>
      </c>
      <c r="Q606" t="s">
        <v>32</v>
      </c>
      <c r="R606">
        <v>-8.1199999999999992</v>
      </c>
      <c r="S606">
        <v>3.7</v>
      </c>
      <c r="T606" t="s">
        <v>32</v>
      </c>
      <c r="U606" t="s">
        <v>32</v>
      </c>
      <c r="V606" t="s">
        <v>32</v>
      </c>
      <c r="X606" t="s">
        <v>32</v>
      </c>
      <c r="Y606">
        <v>0</v>
      </c>
      <c r="Z606">
        <v>3.34</v>
      </c>
      <c r="AA606">
        <v>0.84</v>
      </c>
      <c r="AB606">
        <v>2.63</v>
      </c>
    </row>
    <row r="607" spans="1:28" hidden="1" x14ac:dyDescent="0.2">
      <c r="A607" t="s">
        <v>1356</v>
      </c>
      <c r="B607" t="s">
        <v>1357</v>
      </c>
      <c r="N607" s="1">
        <v>44193</v>
      </c>
      <c r="Q607">
        <v>6.16</v>
      </c>
      <c r="R607">
        <v>-5.54</v>
      </c>
      <c r="S607">
        <v>2.08</v>
      </c>
      <c r="T607">
        <v>3.74</v>
      </c>
      <c r="U607">
        <v>7.97</v>
      </c>
      <c r="V607">
        <v>7.97</v>
      </c>
      <c r="Y607">
        <v>0</v>
      </c>
      <c r="Z607">
        <v>56.31</v>
      </c>
      <c r="AA607">
        <v>6.01</v>
      </c>
      <c r="AB607">
        <v>11.55</v>
      </c>
    </row>
    <row r="608" spans="1:28" hidden="1" x14ac:dyDescent="0.2">
      <c r="A608" t="s">
        <v>1358</v>
      </c>
      <c r="B608" t="s">
        <v>1359</v>
      </c>
      <c r="F608">
        <v>100</v>
      </c>
      <c r="H608">
        <v>1</v>
      </c>
      <c r="I608">
        <v>0</v>
      </c>
      <c r="J608" t="s">
        <v>68</v>
      </c>
      <c r="K608" s="1">
        <v>43316</v>
      </c>
      <c r="L608" t="s">
        <v>1234</v>
      </c>
      <c r="M608" t="s">
        <v>1360</v>
      </c>
    </row>
    <row r="609" spans="1:28" hidden="1" x14ac:dyDescent="0.2">
      <c r="A609" t="s">
        <v>1361</v>
      </c>
      <c r="B609" t="s">
        <v>1362</v>
      </c>
      <c r="F609">
        <v>47</v>
      </c>
      <c r="G609">
        <v>3.6</v>
      </c>
      <c r="K609" s="1">
        <v>43716</v>
      </c>
      <c r="L609" t="s">
        <v>226</v>
      </c>
      <c r="M609" t="s">
        <v>657</v>
      </c>
      <c r="N609" s="1">
        <v>44193</v>
      </c>
      <c r="Q609">
        <v>12.08</v>
      </c>
      <c r="R609">
        <v>-23.73</v>
      </c>
      <c r="S609">
        <v>13.61</v>
      </c>
      <c r="T609">
        <v>22.15</v>
      </c>
      <c r="U609">
        <v>5.86</v>
      </c>
      <c r="V609">
        <v>3.82</v>
      </c>
      <c r="Y609">
        <v>0</v>
      </c>
      <c r="Z609">
        <v>1.74</v>
      </c>
      <c r="AA609">
        <v>1.74</v>
      </c>
      <c r="AB609">
        <v>2.5099999999999998</v>
      </c>
    </row>
    <row r="610" spans="1:28" hidden="1" x14ac:dyDescent="0.2">
      <c r="A610" t="s">
        <v>1383</v>
      </c>
      <c r="B610" t="s">
        <v>1384</v>
      </c>
      <c r="H610">
        <v>1</v>
      </c>
      <c r="I610">
        <v>0</v>
      </c>
      <c r="L610" t="s">
        <v>95</v>
      </c>
      <c r="M610" t="s">
        <v>542</v>
      </c>
      <c r="N610" s="1">
        <v>44197</v>
      </c>
      <c r="O610">
        <v>-57</v>
      </c>
      <c r="P610" t="s">
        <v>2403</v>
      </c>
      <c r="Q610" t="s">
        <v>32</v>
      </c>
      <c r="R610">
        <v>78.28</v>
      </c>
      <c r="S610" t="s">
        <v>32</v>
      </c>
      <c r="T610" t="s">
        <v>32</v>
      </c>
      <c r="U610" t="s">
        <v>32</v>
      </c>
      <c r="V610" t="s">
        <v>32</v>
      </c>
      <c r="X610">
        <v>61</v>
      </c>
      <c r="Y610">
        <v>0</v>
      </c>
      <c r="Z610">
        <v>-28.57</v>
      </c>
      <c r="AA610">
        <v>-9.5500000000000007</v>
      </c>
      <c r="AB610">
        <v>-16.850000000000001</v>
      </c>
    </row>
    <row r="611" spans="1:28" hidden="1" x14ac:dyDescent="0.2">
      <c r="A611" t="s">
        <v>1365</v>
      </c>
      <c r="B611" t="s">
        <v>1366</v>
      </c>
      <c r="F611">
        <v>81</v>
      </c>
      <c r="G611">
        <v>4.3</v>
      </c>
      <c r="H611">
        <v>0</v>
      </c>
      <c r="I611">
        <v>0</v>
      </c>
      <c r="J611" t="s">
        <v>80</v>
      </c>
      <c r="K611" s="1">
        <v>43716</v>
      </c>
      <c r="L611" t="s">
        <v>39</v>
      </c>
      <c r="M611" t="s">
        <v>40</v>
      </c>
      <c r="N611" s="1">
        <v>44193</v>
      </c>
      <c r="Q611">
        <v>0.78</v>
      </c>
      <c r="R611">
        <v>-15.44</v>
      </c>
      <c r="S611">
        <v>-10.199999999999999</v>
      </c>
      <c r="T611">
        <v>2.0499999999999998</v>
      </c>
      <c r="U611">
        <v>14.31</v>
      </c>
      <c r="V611">
        <v>7.55</v>
      </c>
      <c r="Y611">
        <v>28.4</v>
      </c>
      <c r="Z611">
        <v>-12.95</v>
      </c>
      <c r="AA611">
        <v>-5.33</v>
      </c>
      <c r="AB611">
        <v>-16.78</v>
      </c>
    </row>
    <row r="612" spans="1:28" hidden="1" x14ac:dyDescent="0.2">
      <c r="A612" t="s">
        <v>1367</v>
      </c>
      <c r="B612" t="s">
        <v>1368</v>
      </c>
      <c r="L612" t="s">
        <v>43</v>
      </c>
      <c r="M612" t="s">
        <v>676</v>
      </c>
      <c r="N612" s="1">
        <v>44193</v>
      </c>
      <c r="Q612">
        <v>2.8</v>
      </c>
      <c r="R612">
        <v>-16.579999999999998</v>
      </c>
      <c r="S612">
        <v>-2.88</v>
      </c>
      <c r="T612">
        <v>9.4499999999999993</v>
      </c>
      <c r="U612">
        <v>5.66</v>
      </c>
      <c r="V612">
        <v>4.58</v>
      </c>
      <c r="Y612">
        <v>2.5</v>
      </c>
      <c r="Z612">
        <v>-12.67</v>
      </c>
      <c r="AA612">
        <v>-3.49</v>
      </c>
      <c r="AB612">
        <v>-17.690000000000001</v>
      </c>
    </row>
    <row r="613" spans="1:28" hidden="1" x14ac:dyDescent="0.2">
      <c r="A613" t="s">
        <v>1369</v>
      </c>
      <c r="B613" t="s">
        <v>1370</v>
      </c>
      <c r="F613">
        <v>58</v>
      </c>
      <c r="H613">
        <v>1</v>
      </c>
      <c r="I613">
        <v>0</v>
      </c>
      <c r="K613" s="1">
        <v>43316</v>
      </c>
      <c r="L613" t="s">
        <v>30</v>
      </c>
      <c r="M613" t="s">
        <v>164</v>
      </c>
      <c r="N613" s="1">
        <v>44193</v>
      </c>
      <c r="O613">
        <v>1184</v>
      </c>
      <c r="Q613">
        <v>4.9400000000000004</v>
      </c>
      <c r="R613">
        <v>0.23</v>
      </c>
      <c r="S613">
        <v>-2.17</v>
      </c>
      <c r="T613">
        <v>4.49</v>
      </c>
      <c r="U613">
        <v>14.44</v>
      </c>
      <c r="V613" t="s">
        <v>32</v>
      </c>
      <c r="X613">
        <v>109</v>
      </c>
      <c r="Y613">
        <v>0</v>
      </c>
      <c r="Z613">
        <v>4.1900000000000004</v>
      </c>
      <c r="AA613">
        <v>3.78</v>
      </c>
      <c r="AB613">
        <v>15.45</v>
      </c>
    </row>
    <row r="614" spans="1:28" hidden="1" x14ac:dyDescent="0.2">
      <c r="A614" s="4" t="s">
        <v>867</v>
      </c>
      <c r="B614" t="s">
        <v>868</v>
      </c>
      <c r="F614">
        <v>65</v>
      </c>
      <c r="G614">
        <v>3.8</v>
      </c>
      <c r="H614">
        <v>0</v>
      </c>
      <c r="I614">
        <v>0</v>
      </c>
      <c r="J614" t="s">
        <v>53</v>
      </c>
      <c r="K614" s="1">
        <v>44198</v>
      </c>
      <c r="L614" t="s">
        <v>43</v>
      </c>
      <c r="M614" t="s">
        <v>869</v>
      </c>
      <c r="N614" s="1">
        <v>44193</v>
      </c>
      <c r="R614" s="6">
        <v>25.49</v>
      </c>
      <c r="S614" s="6">
        <v>15.05</v>
      </c>
      <c r="T614" s="6">
        <v>17.11</v>
      </c>
      <c r="U614" s="6">
        <v>23.97</v>
      </c>
      <c r="V614" s="6">
        <v>14.21</v>
      </c>
      <c r="W614" s="6"/>
      <c r="Y614">
        <v>2.2999999999999998</v>
      </c>
    </row>
    <row r="615" spans="1:28" hidden="1" x14ac:dyDescent="0.2">
      <c r="A615" t="s">
        <v>1102</v>
      </c>
      <c r="B615" t="s">
        <v>1103</v>
      </c>
      <c r="F615">
        <v>64</v>
      </c>
      <c r="H615">
        <v>0</v>
      </c>
      <c r="I615">
        <v>0</v>
      </c>
      <c r="K615" s="1">
        <v>43316</v>
      </c>
      <c r="L615" t="s">
        <v>43</v>
      </c>
      <c r="M615" t="s">
        <v>596</v>
      </c>
      <c r="N615" s="1">
        <v>44197</v>
      </c>
      <c r="O615">
        <v>-1441</v>
      </c>
      <c r="P615" t="s">
        <v>2403</v>
      </c>
      <c r="Q615" t="s">
        <v>32</v>
      </c>
      <c r="R615">
        <v>2.81</v>
      </c>
      <c r="S615">
        <v>19.96</v>
      </c>
      <c r="T615">
        <v>24.5</v>
      </c>
      <c r="U615">
        <v>20.46</v>
      </c>
      <c r="V615">
        <v>12.18</v>
      </c>
      <c r="X615" t="s">
        <v>32</v>
      </c>
      <c r="Y615">
        <v>0</v>
      </c>
      <c r="Z615">
        <v>-32.630000000000003</v>
      </c>
      <c r="AA615">
        <v>-14.12</v>
      </c>
      <c r="AB615">
        <v>-247.92</v>
      </c>
    </row>
    <row r="616" spans="1:28" hidden="1" x14ac:dyDescent="0.2">
      <c r="A616" t="s">
        <v>1375</v>
      </c>
      <c r="B616" t="s">
        <v>1376</v>
      </c>
      <c r="F616">
        <v>31</v>
      </c>
      <c r="H616">
        <v>0</v>
      </c>
      <c r="I616">
        <v>0</v>
      </c>
      <c r="K616" s="1">
        <v>43316</v>
      </c>
      <c r="L616" t="s">
        <v>43</v>
      </c>
      <c r="M616" t="s">
        <v>488</v>
      </c>
      <c r="N616" s="1">
        <v>44193</v>
      </c>
      <c r="Q616">
        <v>7.39</v>
      </c>
      <c r="R616">
        <v>-30.97</v>
      </c>
      <c r="S616">
        <v>-18.010000000000002</v>
      </c>
      <c r="T616">
        <v>-13.53</v>
      </c>
      <c r="U616">
        <v>-1.41</v>
      </c>
      <c r="V616">
        <v>-2.1800000000000002</v>
      </c>
      <c r="Y616">
        <v>0</v>
      </c>
      <c r="Z616">
        <v>-19.170000000000002</v>
      </c>
      <c r="AA616">
        <v>-18.03</v>
      </c>
      <c r="AB616">
        <v>-90.7</v>
      </c>
    </row>
    <row r="617" spans="1:28" hidden="1" x14ac:dyDescent="0.2">
      <c r="A617" t="s">
        <v>1541</v>
      </c>
      <c r="B617" t="s">
        <v>1542</v>
      </c>
      <c r="N617" s="1">
        <v>44193</v>
      </c>
      <c r="O617">
        <v>81640</v>
      </c>
      <c r="Q617">
        <v>0.45</v>
      </c>
      <c r="R617">
        <v>79.91</v>
      </c>
      <c r="S617">
        <v>21.01</v>
      </c>
      <c r="T617">
        <v>28.66</v>
      </c>
      <c r="U617">
        <v>17.71</v>
      </c>
      <c r="V617">
        <v>12.26</v>
      </c>
      <c r="X617">
        <v>72819</v>
      </c>
      <c r="Y617">
        <v>0</v>
      </c>
      <c r="Z617">
        <v>5.32</v>
      </c>
      <c r="AA617">
        <v>4.0199999999999996</v>
      </c>
      <c r="AB617">
        <v>8.49</v>
      </c>
    </row>
    <row r="618" spans="1:28" hidden="1" x14ac:dyDescent="0.2">
      <c r="A618" t="s">
        <v>1379</v>
      </c>
      <c r="B618" t="s">
        <v>1380</v>
      </c>
      <c r="F618">
        <v>39</v>
      </c>
      <c r="H618">
        <v>1</v>
      </c>
      <c r="I618">
        <v>0</v>
      </c>
      <c r="K618" s="1">
        <v>43316</v>
      </c>
      <c r="L618" t="s">
        <v>71</v>
      </c>
      <c r="M618" t="s">
        <v>149</v>
      </c>
      <c r="N618" s="1">
        <v>44193</v>
      </c>
      <c r="Q618">
        <v>3.17</v>
      </c>
      <c r="R618">
        <v>-0.59</v>
      </c>
      <c r="S618">
        <v>10.92</v>
      </c>
      <c r="T618">
        <v>9.42</v>
      </c>
      <c r="U618">
        <v>9.6</v>
      </c>
      <c r="V618">
        <v>8.48</v>
      </c>
      <c r="Y618">
        <v>0</v>
      </c>
      <c r="Z618">
        <v>18.97</v>
      </c>
      <c r="AA618">
        <v>2.83</v>
      </c>
      <c r="AB618">
        <v>5.32</v>
      </c>
    </row>
    <row r="619" spans="1:28" hidden="1" x14ac:dyDescent="0.2">
      <c r="A619" t="s">
        <v>1381</v>
      </c>
      <c r="B619" t="s">
        <v>1382</v>
      </c>
      <c r="F619">
        <v>32</v>
      </c>
      <c r="H619">
        <v>1</v>
      </c>
      <c r="I619">
        <v>0</v>
      </c>
      <c r="K619" s="1">
        <v>43316</v>
      </c>
      <c r="L619" t="s">
        <v>71</v>
      </c>
      <c r="M619" t="s">
        <v>947</v>
      </c>
      <c r="N619" s="1">
        <v>44193</v>
      </c>
      <c r="Q619">
        <v>11.5</v>
      </c>
      <c r="R619">
        <v>-54.3</v>
      </c>
      <c r="S619">
        <v>-34.86</v>
      </c>
      <c r="T619">
        <v>-21.67</v>
      </c>
      <c r="U619">
        <v>-1.47</v>
      </c>
      <c r="V619">
        <v>-1.27</v>
      </c>
      <c r="Y619">
        <v>0</v>
      </c>
      <c r="Z619">
        <v>-1.69</v>
      </c>
      <c r="AA619">
        <v>-0.16</v>
      </c>
      <c r="AB619">
        <v>-0.54</v>
      </c>
    </row>
    <row r="620" spans="1:28" hidden="1" x14ac:dyDescent="0.2">
      <c r="A620" t="s">
        <v>280</v>
      </c>
      <c r="B620" t="s">
        <v>281</v>
      </c>
      <c r="L620" t="s">
        <v>26</v>
      </c>
      <c r="M620" t="s">
        <v>275</v>
      </c>
      <c r="N620" s="1">
        <v>44197</v>
      </c>
      <c r="O620">
        <v>1</v>
      </c>
      <c r="P620" t="s">
        <v>2403</v>
      </c>
      <c r="Q620" t="s">
        <v>32</v>
      </c>
      <c r="R620">
        <v>118.73</v>
      </c>
      <c r="S620">
        <v>-4.6500000000000004</v>
      </c>
      <c r="T620">
        <v>-24.42</v>
      </c>
      <c r="U620" t="s">
        <v>32</v>
      </c>
      <c r="V620" t="s">
        <v>32</v>
      </c>
      <c r="X620" t="s">
        <v>32</v>
      </c>
      <c r="Y620">
        <v>0</v>
      </c>
      <c r="Z620" t="s">
        <v>2403</v>
      </c>
      <c r="AA620" t="s">
        <v>2403</v>
      </c>
      <c r="AB620" t="s">
        <v>2403</v>
      </c>
    </row>
    <row r="621" spans="1:28" hidden="1" x14ac:dyDescent="0.2">
      <c r="A621" t="s">
        <v>1385</v>
      </c>
      <c r="B621" t="s">
        <v>1386</v>
      </c>
      <c r="L621" t="s">
        <v>39</v>
      </c>
      <c r="M621" t="s">
        <v>1387</v>
      </c>
      <c r="N621" s="1">
        <v>44193</v>
      </c>
      <c r="R621">
        <v>-3.23</v>
      </c>
      <c r="S621">
        <v>-8.34</v>
      </c>
      <c r="T621">
        <v>3.38</v>
      </c>
      <c r="U621">
        <v>5.19</v>
      </c>
      <c r="V621">
        <v>5.73</v>
      </c>
      <c r="Y621">
        <v>3.7</v>
      </c>
      <c r="Z621">
        <v>0.48</v>
      </c>
      <c r="AA621">
        <v>0.98</v>
      </c>
      <c r="AB621">
        <v>3.27</v>
      </c>
    </row>
    <row r="622" spans="1:28" hidden="1" x14ac:dyDescent="0.2">
      <c r="A622" t="s">
        <v>1388</v>
      </c>
      <c r="B622" t="s">
        <v>1389</v>
      </c>
      <c r="F622">
        <v>64</v>
      </c>
      <c r="H622">
        <v>0</v>
      </c>
      <c r="I622">
        <v>0</v>
      </c>
      <c r="K622" s="1">
        <v>43316</v>
      </c>
      <c r="L622" t="s">
        <v>43</v>
      </c>
      <c r="M622" t="s">
        <v>1043</v>
      </c>
      <c r="N622" s="1">
        <v>44193</v>
      </c>
      <c r="R622">
        <v>-14.7</v>
      </c>
      <c r="S622">
        <v>-0.33</v>
      </c>
      <c r="T622">
        <v>14.46</v>
      </c>
      <c r="U622">
        <v>12.74</v>
      </c>
      <c r="V622">
        <v>10.08</v>
      </c>
      <c r="Y622">
        <v>5.5</v>
      </c>
      <c r="Z622">
        <v>1.28</v>
      </c>
      <c r="AA622">
        <v>0.7</v>
      </c>
      <c r="AB622">
        <v>32.99</v>
      </c>
    </row>
    <row r="623" spans="1:28" hidden="1" x14ac:dyDescent="0.2">
      <c r="A623" t="s">
        <v>2295</v>
      </c>
      <c r="B623" t="s">
        <v>2296</v>
      </c>
      <c r="J623" t="s">
        <v>53</v>
      </c>
      <c r="N623" s="1">
        <v>44193</v>
      </c>
      <c r="R623">
        <v>84.83</v>
      </c>
      <c r="S623">
        <v>45.02</v>
      </c>
      <c r="T623">
        <v>54.83</v>
      </c>
      <c r="U623">
        <v>39.36</v>
      </c>
      <c r="V623">
        <v>23.88</v>
      </c>
      <c r="Y623">
        <v>0</v>
      </c>
      <c r="Z623">
        <v>20.53</v>
      </c>
      <c r="AA623">
        <v>26.04</v>
      </c>
      <c r="AB623">
        <v>34.69</v>
      </c>
    </row>
    <row r="624" spans="1:28" hidden="1" x14ac:dyDescent="0.2">
      <c r="A624" t="s">
        <v>1392</v>
      </c>
      <c r="B624" t="s">
        <v>1393</v>
      </c>
      <c r="F624">
        <v>54</v>
      </c>
      <c r="H624">
        <v>1</v>
      </c>
      <c r="I624">
        <v>0</v>
      </c>
      <c r="K624" s="1">
        <v>43316</v>
      </c>
      <c r="L624" t="s">
        <v>30</v>
      </c>
      <c r="M624" t="s">
        <v>361</v>
      </c>
      <c r="N624" s="1">
        <v>44193</v>
      </c>
      <c r="Q624">
        <v>1.02</v>
      </c>
      <c r="R624">
        <v>19.47</v>
      </c>
      <c r="S624">
        <v>9.9499999999999993</v>
      </c>
      <c r="T624">
        <v>15.74</v>
      </c>
      <c r="U624">
        <v>17.39</v>
      </c>
      <c r="V624">
        <v>5.5</v>
      </c>
      <c r="Y624">
        <v>1.5</v>
      </c>
    </row>
    <row r="625" spans="1:28" hidden="1" x14ac:dyDescent="0.2">
      <c r="A625" t="s">
        <v>1074</v>
      </c>
      <c r="B625" t="s">
        <v>1075</v>
      </c>
      <c r="F625">
        <v>18</v>
      </c>
      <c r="H625">
        <v>1</v>
      </c>
      <c r="I625">
        <v>0</v>
      </c>
      <c r="K625" s="1">
        <v>43316</v>
      </c>
      <c r="L625" t="s">
        <v>43</v>
      </c>
      <c r="M625" t="s">
        <v>507</v>
      </c>
      <c r="N625" s="1">
        <v>44197</v>
      </c>
      <c r="O625">
        <v>-4</v>
      </c>
      <c r="P625" t="s">
        <v>2403</v>
      </c>
      <c r="Q625" t="s">
        <v>32</v>
      </c>
      <c r="R625">
        <v>28.78</v>
      </c>
      <c r="S625">
        <v>4.3</v>
      </c>
      <c r="T625">
        <v>-6.06</v>
      </c>
      <c r="U625">
        <v>0.42</v>
      </c>
      <c r="V625">
        <v>4.42</v>
      </c>
      <c r="X625" t="s">
        <v>32</v>
      </c>
      <c r="Y625">
        <v>0</v>
      </c>
      <c r="Z625">
        <v>-0.08</v>
      </c>
      <c r="AA625">
        <v>-7.0000000000000007E-2</v>
      </c>
      <c r="AB625">
        <v>-0.87</v>
      </c>
    </row>
    <row r="626" spans="1:28" hidden="1" x14ac:dyDescent="0.2">
      <c r="A626" t="s">
        <v>1396</v>
      </c>
      <c r="B626" t="s">
        <v>1397</v>
      </c>
      <c r="L626" t="s">
        <v>39</v>
      </c>
      <c r="M626" t="s">
        <v>1141</v>
      </c>
      <c r="N626" s="1">
        <v>44193</v>
      </c>
      <c r="Q626">
        <v>3.16</v>
      </c>
      <c r="R626">
        <v>-23.72</v>
      </c>
      <c r="S626">
        <v>-17.25</v>
      </c>
      <c r="T626">
        <v>-10.45</v>
      </c>
      <c r="U626">
        <v>-0.12</v>
      </c>
      <c r="V626">
        <v>-0.48</v>
      </c>
      <c r="Y626">
        <v>0</v>
      </c>
      <c r="Z626">
        <v>-5.82</v>
      </c>
      <c r="AA626">
        <v>-4.09</v>
      </c>
      <c r="AB626">
        <v>-13.12</v>
      </c>
    </row>
    <row r="627" spans="1:28" hidden="1" x14ac:dyDescent="0.2">
      <c r="A627" t="s">
        <v>1398</v>
      </c>
      <c r="B627" t="s">
        <v>1399</v>
      </c>
      <c r="N627" s="1">
        <v>44193</v>
      </c>
      <c r="Q627">
        <v>9.3800000000000008</v>
      </c>
      <c r="R627">
        <v>0.23</v>
      </c>
      <c r="S627">
        <v>4.34</v>
      </c>
      <c r="T627">
        <v>16.11</v>
      </c>
      <c r="U627">
        <v>-0.82</v>
      </c>
      <c r="V627">
        <v>3.28</v>
      </c>
      <c r="Y627">
        <v>0</v>
      </c>
      <c r="Z627">
        <v>10.91</v>
      </c>
      <c r="AA627">
        <v>6.03</v>
      </c>
      <c r="AB627">
        <v>153.83000000000001</v>
      </c>
    </row>
    <row r="628" spans="1:28" hidden="1" x14ac:dyDescent="0.2">
      <c r="A628" t="s">
        <v>1400</v>
      </c>
      <c r="B628" t="s">
        <v>1401</v>
      </c>
      <c r="F628">
        <v>40</v>
      </c>
      <c r="H628">
        <v>1</v>
      </c>
      <c r="I628">
        <v>0</v>
      </c>
      <c r="K628" s="1">
        <v>43316</v>
      </c>
      <c r="L628" t="s">
        <v>43</v>
      </c>
      <c r="M628" t="s">
        <v>264</v>
      </c>
      <c r="N628" s="1">
        <v>44193</v>
      </c>
      <c r="R628">
        <v>10.050000000000001</v>
      </c>
      <c r="S628">
        <v>9.5500000000000007</v>
      </c>
      <c r="T628">
        <v>14.45</v>
      </c>
      <c r="U628">
        <v>12.41</v>
      </c>
      <c r="V628">
        <v>14.3</v>
      </c>
      <c r="Y628">
        <v>3</v>
      </c>
    </row>
    <row r="629" spans="1:28" hidden="1" x14ac:dyDescent="0.2">
      <c r="A629" s="4" t="s">
        <v>1037</v>
      </c>
      <c r="B629" t="s">
        <v>1038</v>
      </c>
      <c r="F629">
        <v>60</v>
      </c>
      <c r="G629">
        <v>3.8</v>
      </c>
      <c r="L629" t="s">
        <v>39</v>
      </c>
      <c r="M629" t="s">
        <v>900</v>
      </c>
      <c r="N629" s="1">
        <v>44193</v>
      </c>
      <c r="Q629">
        <v>1.42</v>
      </c>
      <c r="R629" s="6">
        <v>24.94</v>
      </c>
      <c r="S629" s="6">
        <v>22.58</v>
      </c>
      <c r="T629" s="6">
        <v>16.579999999999998</v>
      </c>
      <c r="U629" s="6">
        <v>12.8</v>
      </c>
      <c r="V629" s="6">
        <v>13.3</v>
      </c>
      <c r="W629" s="6"/>
      <c r="Y629">
        <v>3.4</v>
      </c>
      <c r="Z629">
        <v>5.38</v>
      </c>
      <c r="AA629">
        <v>10.08</v>
      </c>
      <c r="AB629">
        <v>31.48</v>
      </c>
    </row>
    <row r="630" spans="1:28" hidden="1" x14ac:dyDescent="0.2">
      <c r="A630" t="s">
        <v>1404</v>
      </c>
      <c r="B630" t="s">
        <v>1405</v>
      </c>
      <c r="F630">
        <v>42</v>
      </c>
      <c r="H630">
        <v>1</v>
      </c>
      <c r="I630">
        <v>0</v>
      </c>
      <c r="K630" s="1">
        <v>43316</v>
      </c>
      <c r="L630" t="s">
        <v>26</v>
      </c>
      <c r="M630" t="s">
        <v>57</v>
      </c>
      <c r="N630" s="1">
        <v>44193</v>
      </c>
      <c r="Q630">
        <v>0.92</v>
      </c>
      <c r="R630">
        <v>24.23</v>
      </c>
      <c r="S630">
        <v>3.47</v>
      </c>
      <c r="T630">
        <v>-2.2599999999999998</v>
      </c>
      <c r="U630">
        <v>9.91</v>
      </c>
      <c r="V630">
        <v>8.7899999999999991</v>
      </c>
      <c r="Y630">
        <v>0</v>
      </c>
      <c r="Z630">
        <v>0.95</v>
      </c>
      <c r="AA630">
        <v>3.7</v>
      </c>
      <c r="AB630">
        <v>36.020000000000003</v>
      </c>
    </row>
    <row r="631" spans="1:28" hidden="1" x14ac:dyDescent="0.2">
      <c r="A631" t="s">
        <v>845</v>
      </c>
      <c r="B631" t="s">
        <v>846</v>
      </c>
      <c r="N631" s="1">
        <v>44194</v>
      </c>
      <c r="R631">
        <v>88.39</v>
      </c>
      <c r="S631">
        <v>71.489999999999995</v>
      </c>
      <c r="T631" t="s">
        <v>32</v>
      </c>
      <c r="U631" t="s">
        <v>32</v>
      </c>
      <c r="V631" t="s">
        <v>32</v>
      </c>
      <c r="Y631">
        <v>0</v>
      </c>
      <c r="Z631">
        <v>-32.43</v>
      </c>
      <c r="AA631">
        <v>-11.62</v>
      </c>
      <c r="AB631">
        <v>-35.85</v>
      </c>
    </row>
    <row r="632" spans="1:28" hidden="1" x14ac:dyDescent="0.2">
      <c r="A632" t="s">
        <v>1148</v>
      </c>
      <c r="B632" t="s">
        <v>1149</v>
      </c>
      <c r="L632" t="s">
        <v>26</v>
      </c>
      <c r="M632" t="s">
        <v>759</v>
      </c>
      <c r="N632" s="1">
        <v>44197</v>
      </c>
      <c r="O632">
        <v>-723</v>
      </c>
      <c r="P632" t="s">
        <v>2403</v>
      </c>
      <c r="Q632" t="s">
        <v>32</v>
      </c>
      <c r="R632">
        <v>-11.69</v>
      </c>
      <c r="S632">
        <v>-22.85</v>
      </c>
      <c r="T632">
        <v>-19.29</v>
      </c>
      <c r="U632">
        <v>-3.11</v>
      </c>
      <c r="V632">
        <v>0.69</v>
      </c>
      <c r="X632" t="s">
        <v>32</v>
      </c>
      <c r="Y632">
        <v>0</v>
      </c>
      <c r="Z632">
        <v>-20.6</v>
      </c>
      <c r="AA632">
        <v>-18.739999999999998</v>
      </c>
      <c r="AB632">
        <v>-63.29</v>
      </c>
    </row>
    <row r="633" spans="1:28" hidden="1" x14ac:dyDescent="0.2">
      <c r="A633" t="s">
        <v>1410</v>
      </c>
      <c r="B633" t="s">
        <v>1411</v>
      </c>
      <c r="F633">
        <v>41</v>
      </c>
      <c r="H633">
        <v>1</v>
      </c>
      <c r="I633">
        <v>0</v>
      </c>
      <c r="K633" s="1">
        <v>43316</v>
      </c>
      <c r="L633" t="s">
        <v>99</v>
      </c>
      <c r="M633" t="s">
        <v>1111</v>
      </c>
      <c r="N633" s="1">
        <v>44193</v>
      </c>
      <c r="Q633">
        <v>2.04</v>
      </c>
      <c r="R633">
        <v>7.33</v>
      </c>
      <c r="S633">
        <v>12.05</v>
      </c>
      <c r="T633">
        <v>6.62</v>
      </c>
      <c r="U633">
        <v>9.7799999999999994</v>
      </c>
      <c r="V633">
        <v>7.76</v>
      </c>
      <c r="Y633">
        <v>3.1</v>
      </c>
      <c r="Z633">
        <v>11.73</v>
      </c>
      <c r="AA633">
        <v>4.72</v>
      </c>
      <c r="AB633">
        <v>11.43</v>
      </c>
    </row>
    <row r="634" spans="1:28" hidden="1" x14ac:dyDescent="0.2">
      <c r="A634" t="s">
        <v>1412</v>
      </c>
      <c r="B634" t="s">
        <v>1413</v>
      </c>
      <c r="F634">
        <v>62</v>
      </c>
      <c r="H634">
        <v>1</v>
      </c>
      <c r="I634">
        <v>0</v>
      </c>
      <c r="K634" s="1">
        <v>43316</v>
      </c>
      <c r="L634" t="s">
        <v>26</v>
      </c>
      <c r="M634" t="s">
        <v>77</v>
      </c>
      <c r="N634" s="1">
        <v>44193</v>
      </c>
      <c r="O634">
        <v>3537</v>
      </c>
      <c r="Q634">
        <v>1.97</v>
      </c>
      <c r="R634">
        <v>2.71</v>
      </c>
      <c r="S634">
        <v>14.01</v>
      </c>
      <c r="T634">
        <v>9.8000000000000007</v>
      </c>
      <c r="U634">
        <v>13.39</v>
      </c>
      <c r="V634">
        <v>5.77</v>
      </c>
      <c r="X634">
        <v>2401</v>
      </c>
      <c r="Y634">
        <v>3.5</v>
      </c>
      <c r="Z634">
        <v>12.69</v>
      </c>
      <c r="AA634">
        <v>3.78</v>
      </c>
      <c r="AB634">
        <v>7.02</v>
      </c>
    </row>
    <row r="635" spans="1:28" hidden="1" x14ac:dyDescent="0.2">
      <c r="A635" t="s">
        <v>1517</v>
      </c>
      <c r="B635" t="s">
        <v>1518</v>
      </c>
      <c r="F635">
        <v>37</v>
      </c>
      <c r="G635">
        <v>3</v>
      </c>
      <c r="J635" t="s">
        <v>68</v>
      </c>
      <c r="K635" s="1">
        <v>43716</v>
      </c>
      <c r="L635" t="s">
        <v>43</v>
      </c>
      <c r="M635" t="s">
        <v>47</v>
      </c>
      <c r="N635" s="1">
        <v>44193</v>
      </c>
      <c r="Q635">
        <v>2.21</v>
      </c>
      <c r="R635">
        <v>87.14</v>
      </c>
      <c r="S635">
        <v>41.72</v>
      </c>
      <c r="T635">
        <v>46.53</v>
      </c>
      <c r="U635">
        <v>21.1</v>
      </c>
      <c r="V635">
        <v>27.64</v>
      </c>
      <c r="Y635">
        <v>0</v>
      </c>
      <c r="Z635">
        <v>11.27</v>
      </c>
      <c r="AA635">
        <v>41.25</v>
      </c>
      <c r="AB635">
        <v>75.430000000000007</v>
      </c>
    </row>
    <row r="636" spans="1:28" hidden="1" x14ac:dyDescent="0.2">
      <c r="A636" t="s">
        <v>1154</v>
      </c>
      <c r="B636" t="s">
        <v>1155</v>
      </c>
      <c r="L636" t="s">
        <v>26</v>
      </c>
      <c r="M636" t="s">
        <v>77</v>
      </c>
      <c r="N636" s="1">
        <v>44197</v>
      </c>
      <c r="O636">
        <v>208</v>
      </c>
      <c r="P636" t="s">
        <v>2403</v>
      </c>
      <c r="Q636" t="s">
        <v>32</v>
      </c>
      <c r="R636">
        <v>90.05</v>
      </c>
      <c r="S636">
        <v>20.04</v>
      </c>
      <c r="T636">
        <v>29.14</v>
      </c>
      <c r="U636">
        <v>42.17</v>
      </c>
      <c r="V636">
        <v>26.77</v>
      </c>
      <c r="X636">
        <v>108</v>
      </c>
      <c r="Y636">
        <v>0</v>
      </c>
      <c r="Z636">
        <v>25.88</v>
      </c>
      <c r="AA636">
        <v>16.95</v>
      </c>
      <c r="AB636">
        <v>19.12</v>
      </c>
    </row>
    <row r="637" spans="1:28" hidden="1" x14ac:dyDescent="0.2">
      <c r="A637" t="s">
        <v>1418</v>
      </c>
      <c r="B637" t="s">
        <v>1419</v>
      </c>
      <c r="F637">
        <v>40</v>
      </c>
      <c r="H637">
        <v>1</v>
      </c>
      <c r="I637">
        <v>0</v>
      </c>
      <c r="K637" s="1">
        <v>43316</v>
      </c>
      <c r="L637" t="s">
        <v>35</v>
      </c>
      <c r="M637" t="s">
        <v>132</v>
      </c>
      <c r="N637" s="1">
        <v>44193</v>
      </c>
      <c r="Q637">
        <v>3.94</v>
      </c>
      <c r="R637">
        <v>-5.61</v>
      </c>
      <c r="S637">
        <v>0.5</v>
      </c>
      <c r="T637">
        <v>4.4800000000000004</v>
      </c>
      <c r="U637">
        <v>3.89</v>
      </c>
      <c r="V637">
        <v>2.2200000000000002</v>
      </c>
      <c r="Y637">
        <v>0</v>
      </c>
      <c r="Z637">
        <v>8.5500000000000007</v>
      </c>
      <c r="AA637">
        <v>0.74</v>
      </c>
      <c r="AB637">
        <v>7.91</v>
      </c>
    </row>
    <row r="638" spans="1:28" hidden="1" x14ac:dyDescent="0.2">
      <c r="A638" t="s">
        <v>839</v>
      </c>
      <c r="B638" t="s">
        <v>840</v>
      </c>
      <c r="L638" t="s">
        <v>26</v>
      </c>
      <c r="M638" t="s">
        <v>238</v>
      </c>
      <c r="N638" s="1">
        <v>44197</v>
      </c>
      <c r="O638">
        <v>134</v>
      </c>
      <c r="P638" t="s">
        <v>2403</v>
      </c>
      <c r="Q638" t="s">
        <v>32</v>
      </c>
      <c r="R638">
        <v>5.87</v>
      </c>
      <c r="S638">
        <v>-4.9800000000000004</v>
      </c>
      <c r="T638">
        <v>6.08</v>
      </c>
      <c r="U638">
        <v>5.77</v>
      </c>
      <c r="V638">
        <v>6.67</v>
      </c>
      <c r="X638" t="s">
        <v>32</v>
      </c>
      <c r="Y638">
        <v>0</v>
      </c>
      <c r="Z638">
        <v>1.88</v>
      </c>
      <c r="AA638">
        <v>4.1100000000000003</v>
      </c>
      <c r="AB638">
        <v>9.11</v>
      </c>
    </row>
    <row r="639" spans="1:28" hidden="1" x14ac:dyDescent="0.2">
      <c r="A639" t="s">
        <v>1422</v>
      </c>
      <c r="B639" t="s">
        <v>1423</v>
      </c>
      <c r="F639">
        <v>46</v>
      </c>
      <c r="G639">
        <v>3.5</v>
      </c>
      <c r="K639" s="1">
        <v>43716</v>
      </c>
      <c r="L639" t="s">
        <v>43</v>
      </c>
      <c r="M639" t="s">
        <v>676</v>
      </c>
      <c r="N639" s="1">
        <v>44193</v>
      </c>
      <c r="Q639">
        <v>1.01</v>
      </c>
      <c r="R639">
        <v>-7.55</v>
      </c>
      <c r="S639">
        <v>-1.46</v>
      </c>
      <c r="T639">
        <v>7.51</v>
      </c>
      <c r="U639">
        <v>8.23</v>
      </c>
      <c r="V639">
        <v>-0.71</v>
      </c>
      <c r="Y639">
        <v>0</v>
      </c>
      <c r="Z639">
        <v>21.47</v>
      </c>
      <c r="AA639">
        <v>4.32</v>
      </c>
      <c r="AB639">
        <v>22.78</v>
      </c>
    </row>
    <row r="640" spans="1:28" hidden="1" x14ac:dyDescent="0.2">
      <c r="A640" t="s">
        <v>282</v>
      </c>
      <c r="B640" t="s">
        <v>283</v>
      </c>
      <c r="L640" t="s">
        <v>26</v>
      </c>
      <c r="M640" t="s">
        <v>275</v>
      </c>
      <c r="N640" s="1">
        <v>44197</v>
      </c>
      <c r="O640">
        <v>-158</v>
      </c>
      <c r="P640" t="s">
        <v>2403</v>
      </c>
      <c r="Q640" t="s">
        <v>32</v>
      </c>
      <c r="R640">
        <v>110.11</v>
      </c>
      <c r="S640">
        <v>6.36</v>
      </c>
      <c r="T640">
        <v>-5.89</v>
      </c>
      <c r="U640" t="s">
        <v>32</v>
      </c>
      <c r="V640" t="s">
        <v>32</v>
      </c>
      <c r="X640">
        <v>203</v>
      </c>
      <c r="Y640">
        <v>0</v>
      </c>
      <c r="Z640">
        <v>-204.24</v>
      </c>
      <c r="AA640">
        <v>-43.55</v>
      </c>
      <c r="AB640">
        <v>-57.81</v>
      </c>
    </row>
    <row r="641" spans="1:28" hidden="1" x14ac:dyDescent="0.2">
      <c r="A641" t="s">
        <v>851</v>
      </c>
      <c r="B641" t="s">
        <v>852</v>
      </c>
      <c r="F641">
        <v>64</v>
      </c>
      <c r="H641">
        <v>1</v>
      </c>
      <c r="I641">
        <v>0</v>
      </c>
      <c r="K641" s="1">
        <v>43316</v>
      </c>
      <c r="L641" t="s">
        <v>43</v>
      </c>
      <c r="M641" t="s">
        <v>435</v>
      </c>
      <c r="N641" s="1">
        <v>44197</v>
      </c>
      <c r="O641">
        <v>532</v>
      </c>
      <c r="P641" t="s">
        <v>2403</v>
      </c>
      <c r="Q641" t="s">
        <v>32</v>
      </c>
      <c r="R641">
        <v>3.35</v>
      </c>
      <c r="S641">
        <v>-20.059999999999999</v>
      </c>
      <c r="T641">
        <v>-5.74</v>
      </c>
      <c r="U641">
        <v>9.52</v>
      </c>
      <c r="V641">
        <v>3.27</v>
      </c>
      <c r="X641" t="s">
        <v>32</v>
      </c>
      <c r="Y641">
        <v>0</v>
      </c>
      <c r="Z641">
        <v>5.7</v>
      </c>
      <c r="AA641">
        <v>3.92</v>
      </c>
      <c r="AB641">
        <v>6.68</v>
      </c>
    </row>
    <row r="642" spans="1:28" hidden="1" x14ac:dyDescent="0.2">
      <c r="A642" t="s">
        <v>1948</v>
      </c>
      <c r="B642" t="s">
        <v>1949</v>
      </c>
      <c r="N642" s="1">
        <v>44197</v>
      </c>
      <c r="O642">
        <v>202</v>
      </c>
      <c r="P642" t="s">
        <v>2403</v>
      </c>
      <c r="Q642" t="s">
        <v>32</v>
      </c>
      <c r="R642">
        <v>12.55</v>
      </c>
      <c r="S642">
        <v>8.7899999999999991</v>
      </c>
      <c r="T642">
        <v>15.1</v>
      </c>
      <c r="U642">
        <v>11.16</v>
      </c>
      <c r="V642">
        <v>0.62</v>
      </c>
      <c r="X642" t="s">
        <v>32</v>
      </c>
      <c r="Y642">
        <v>0</v>
      </c>
      <c r="Z642">
        <v>6.99</v>
      </c>
      <c r="AA642">
        <v>8.76</v>
      </c>
      <c r="AB642">
        <v>18.93</v>
      </c>
    </row>
    <row r="643" spans="1:28" hidden="1" x14ac:dyDescent="0.2">
      <c r="A643" t="s">
        <v>1430</v>
      </c>
      <c r="B643" t="s">
        <v>1431</v>
      </c>
      <c r="N643" s="1">
        <v>44193</v>
      </c>
      <c r="Q643">
        <v>3.06</v>
      </c>
      <c r="R643">
        <v>-25.88</v>
      </c>
      <c r="S643">
        <v>-6.45</v>
      </c>
      <c r="T643">
        <v>-6.43</v>
      </c>
      <c r="U643">
        <v>-0.49</v>
      </c>
      <c r="V643" t="s">
        <v>32</v>
      </c>
      <c r="Y643">
        <v>0</v>
      </c>
      <c r="Z643">
        <v>0.02</v>
      </c>
      <c r="AA643">
        <v>0.02</v>
      </c>
      <c r="AB643">
        <v>0.06</v>
      </c>
    </row>
    <row r="644" spans="1:28" hidden="1" x14ac:dyDescent="0.2">
      <c r="A644" t="s">
        <v>1952</v>
      </c>
      <c r="B644" t="s">
        <v>1953</v>
      </c>
      <c r="N644" s="1">
        <v>44197</v>
      </c>
      <c r="O644">
        <v>264</v>
      </c>
      <c r="P644" t="s">
        <v>2403</v>
      </c>
      <c r="Q644" t="s">
        <v>32</v>
      </c>
      <c r="R644">
        <v>17.71</v>
      </c>
      <c r="S644">
        <v>-1.51</v>
      </c>
      <c r="T644">
        <v>3.63</v>
      </c>
      <c r="U644">
        <v>16.440000000000001</v>
      </c>
      <c r="V644">
        <v>15.73</v>
      </c>
      <c r="X644" t="s">
        <v>32</v>
      </c>
      <c r="Y644">
        <v>0</v>
      </c>
      <c r="Z644">
        <v>10.28</v>
      </c>
      <c r="AA644">
        <v>5.32</v>
      </c>
      <c r="AB644">
        <v>13.61</v>
      </c>
    </row>
    <row r="645" spans="1:28" hidden="1" x14ac:dyDescent="0.2">
      <c r="A645" s="4" t="s">
        <v>883</v>
      </c>
      <c r="B645" t="s">
        <v>884</v>
      </c>
      <c r="F645">
        <v>71</v>
      </c>
      <c r="H645">
        <v>1</v>
      </c>
      <c r="I645">
        <v>0</v>
      </c>
      <c r="J645" t="s">
        <v>53</v>
      </c>
      <c r="K645" s="1">
        <v>43316</v>
      </c>
      <c r="L645" t="s">
        <v>99</v>
      </c>
      <c r="M645" t="s">
        <v>561</v>
      </c>
      <c r="N645" s="1">
        <v>44192</v>
      </c>
      <c r="Q645">
        <v>1.0900000000000001</v>
      </c>
      <c r="R645" s="6">
        <v>24.83</v>
      </c>
      <c r="S645" s="6">
        <v>21.42</v>
      </c>
      <c r="T645" s="6">
        <v>16.07</v>
      </c>
      <c r="U645" s="6">
        <v>18.2</v>
      </c>
      <c r="V645" s="6">
        <v>17.53</v>
      </c>
      <c r="W645" s="6"/>
      <c r="Y645">
        <v>3.4</v>
      </c>
      <c r="Z645">
        <v>16.440000000000001</v>
      </c>
      <c r="AA645">
        <v>11.4</v>
      </c>
      <c r="AB645">
        <v>27.04</v>
      </c>
    </row>
    <row r="646" spans="1:28" hidden="1" x14ac:dyDescent="0.2">
      <c r="A646" t="s">
        <v>978</v>
      </c>
      <c r="B646" t="s">
        <v>979</v>
      </c>
      <c r="L646" t="s">
        <v>35</v>
      </c>
      <c r="M646" t="s">
        <v>129</v>
      </c>
      <c r="N646" s="1">
        <v>44197</v>
      </c>
      <c r="O646">
        <v>480</v>
      </c>
      <c r="P646" t="s">
        <v>2403</v>
      </c>
      <c r="Q646" t="s">
        <v>32</v>
      </c>
      <c r="R646">
        <v>-9.61</v>
      </c>
      <c r="S646">
        <v>-3.2</v>
      </c>
      <c r="T646">
        <v>3.19</v>
      </c>
      <c r="U646">
        <v>10.58</v>
      </c>
      <c r="V646">
        <v>8.19</v>
      </c>
      <c r="X646" t="s">
        <v>32</v>
      </c>
      <c r="Y646">
        <v>0</v>
      </c>
      <c r="Z646">
        <v>5.0599999999999996</v>
      </c>
      <c r="AA646">
        <v>1.17</v>
      </c>
      <c r="AB646">
        <v>4.1100000000000003</v>
      </c>
    </row>
    <row r="647" spans="1:28" hidden="1" x14ac:dyDescent="0.2">
      <c r="A647" t="s">
        <v>2328</v>
      </c>
      <c r="B647" t="s">
        <v>2329</v>
      </c>
      <c r="N647" s="1">
        <v>44197</v>
      </c>
      <c r="O647">
        <v>343</v>
      </c>
      <c r="P647" t="s">
        <v>2403</v>
      </c>
      <c r="Q647" t="s">
        <v>32</v>
      </c>
      <c r="R647">
        <v>93.55</v>
      </c>
      <c r="S647">
        <v>70.14</v>
      </c>
      <c r="T647">
        <v>56.66</v>
      </c>
      <c r="U647" t="s">
        <v>32</v>
      </c>
      <c r="V647" t="s">
        <v>32</v>
      </c>
      <c r="X647">
        <v>273</v>
      </c>
      <c r="Y647">
        <v>4.0999999999999996</v>
      </c>
      <c r="Z647">
        <v>24.88</v>
      </c>
      <c r="AA647">
        <v>15.31</v>
      </c>
      <c r="AB647">
        <v>18.73</v>
      </c>
    </row>
    <row r="648" spans="1:28" hidden="1" x14ac:dyDescent="0.2">
      <c r="A648" t="s">
        <v>1440</v>
      </c>
      <c r="B648" t="s">
        <v>1441</v>
      </c>
      <c r="N648" s="1">
        <v>44193</v>
      </c>
      <c r="O648">
        <v>16</v>
      </c>
      <c r="Q648">
        <v>1.7</v>
      </c>
      <c r="R648">
        <v>-18.66</v>
      </c>
      <c r="S648">
        <v>-1.25</v>
      </c>
      <c r="T648">
        <v>5.92</v>
      </c>
      <c r="U648">
        <v>4.34</v>
      </c>
      <c r="V648">
        <v>2.34</v>
      </c>
      <c r="X648">
        <v>71</v>
      </c>
      <c r="Y648">
        <v>0</v>
      </c>
      <c r="Z648">
        <v>0.64</v>
      </c>
      <c r="AA648">
        <v>0.85</v>
      </c>
      <c r="AB648">
        <v>2.11</v>
      </c>
    </row>
    <row r="649" spans="1:28" hidden="1" x14ac:dyDescent="0.2">
      <c r="A649" t="s">
        <v>1442</v>
      </c>
      <c r="B649" t="s">
        <v>1443</v>
      </c>
      <c r="F649">
        <v>66</v>
      </c>
      <c r="H649">
        <v>1</v>
      </c>
      <c r="I649">
        <v>0</v>
      </c>
      <c r="K649" s="1">
        <v>43316</v>
      </c>
      <c r="L649" t="s">
        <v>30</v>
      </c>
      <c r="M649" t="s">
        <v>361</v>
      </c>
      <c r="N649" s="1">
        <v>44193</v>
      </c>
      <c r="Q649">
        <v>0.84</v>
      </c>
      <c r="R649">
        <v>1</v>
      </c>
      <c r="S649">
        <v>10.029999999999999</v>
      </c>
      <c r="T649">
        <v>14.86</v>
      </c>
      <c r="U649">
        <v>12.18</v>
      </c>
      <c r="V649">
        <v>9.43</v>
      </c>
      <c r="Y649">
        <v>1.7</v>
      </c>
      <c r="Z649">
        <v>14.37</v>
      </c>
      <c r="AA649">
        <v>6.47</v>
      </c>
      <c r="AB649">
        <v>12.09</v>
      </c>
    </row>
    <row r="650" spans="1:28" hidden="1" x14ac:dyDescent="0.2">
      <c r="A650" t="s">
        <v>1444</v>
      </c>
      <c r="B650" t="s">
        <v>1445</v>
      </c>
      <c r="N650" s="1">
        <v>44193</v>
      </c>
      <c r="Q650">
        <v>2.16</v>
      </c>
      <c r="R650">
        <v>0.78</v>
      </c>
      <c r="S650">
        <v>15.26</v>
      </c>
      <c r="T650">
        <v>12.99</v>
      </c>
      <c r="U650">
        <v>11.6</v>
      </c>
      <c r="V650">
        <v>5.52</v>
      </c>
      <c r="Y650">
        <v>0</v>
      </c>
      <c r="Z650">
        <v>4.3600000000000003</v>
      </c>
      <c r="AA650">
        <v>7.37</v>
      </c>
      <c r="AB650">
        <v>11.35</v>
      </c>
    </row>
    <row r="651" spans="1:28" hidden="1" x14ac:dyDescent="0.2">
      <c r="A651" t="s">
        <v>1446</v>
      </c>
      <c r="B651" t="s">
        <v>1447</v>
      </c>
      <c r="F651">
        <v>53</v>
      </c>
      <c r="H651">
        <v>1</v>
      </c>
      <c r="I651">
        <v>0</v>
      </c>
      <c r="K651" s="1">
        <v>43316</v>
      </c>
      <c r="L651" t="s">
        <v>35</v>
      </c>
      <c r="M651" t="s">
        <v>155</v>
      </c>
      <c r="N651" s="1">
        <v>44193</v>
      </c>
      <c r="Q651">
        <v>1.61</v>
      </c>
      <c r="R651">
        <v>4.84</v>
      </c>
      <c r="S651">
        <v>14.24</v>
      </c>
      <c r="T651">
        <v>17.239999999999998</v>
      </c>
      <c r="U651">
        <v>16.71</v>
      </c>
      <c r="V651">
        <v>9.66</v>
      </c>
      <c r="Y651">
        <v>2.2999999999999998</v>
      </c>
      <c r="Z651">
        <v>11.91</v>
      </c>
      <c r="AA651">
        <v>6.38</v>
      </c>
      <c r="AB651">
        <v>25.08</v>
      </c>
    </row>
    <row r="652" spans="1:28" hidden="1" x14ac:dyDescent="0.2">
      <c r="A652" t="s">
        <v>1448</v>
      </c>
      <c r="B652" t="s">
        <v>1449</v>
      </c>
      <c r="F652">
        <v>44</v>
      </c>
      <c r="H652">
        <v>1</v>
      </c>
      <c r="I652">
        <v>0</v>
      </c>
      <c r="K652" s="1">
        <v>43316</v>
      </c>
      <c r="L652" t="s">
        <v>226</v>
      </c>
      <c r="M652" t="s">
        <v>386</v>
      </c>
      <c r="N652" s="1">
        <v>44193</v>
      </c>
      <c r="Q652">
        <v>8.33</v>
      </c>
      <c r="R652">
        <v>-57.71</v>
      </c>
      <c r="S652">
        <v>-28.94</v>
      </c>
      <c r="T652">
        <v>-13.52</v>
      </c>
      <c r="U652">
        <v>-3.93</v>
      </c>
      <c r="V652">
        <v>1.74</v>
      </c>
      <c r="Y652">
        <v>0</v>
      </c>
    </row>
    <row r="653" spans="1:28" hidden="1" x14ac:dyDescent="0.2">
      <c r="A653" t="s">
        <v>1450</v>
      </c>
      <c r="B653" t="s">
        <v>1451</v>
      </c>
      <c r="F653">
        <v>64</v>
      </c>
      <c r="H653">
        <v>1</v>
      </c>
      <c r="I653">
        <v>0</v>
      </c>
      <c r="J653" t="s">
        <v>80</v>
      </c>
      <c r="K653" s="1">
        <v>43316</v>
      </c>
      <c r="L653" t="s">
        <v>39</v>
      </c>
      <c r="M653" t="s">
        <v>197</v>
      </c>
      <c r="N653" s="1">
        <v>44193</v>
      </c>
      <c r="O653">
        <v>4964</v>
      </c>
      <c r="Q653">
        <v>3.4</v>
      </c>
      <c r="R653">
        <v>2.11</v>
      </c>
      <c r="S653">
        <v>-6.54</v>
      </c>
      <c r="T653">
        <v>5.83</v>
      </c>
      <c r="U653">
        <v>9.5500000000000007</v>
      </c>
      <c r="V653">
        <v>7.27</v>
      </c>
      <c r="X653">
        <v>1943</v>
      </c>
      <c r="Y653">
        <v>3.2</v>
      </c>
      <c r="Z653">
        <v>15.65</v>
      </c>
      <c r="AA653">
        <v>11.29</v>
      </c>
      <c r="AB653">
        <v>43.96</v>
      </c>
    </row>
    <row r="654" spans="1:28" hidden="1" x14ac:dyDescent="0.2">
      <c r="A654" t="s">
        <v>1452</v>
      </c>
      <c r="B654" t="s">
        <v>1453</v>
      </c>
      <c r="F654">
        <v>76</v>
      </c>
      <c r="H654">
        <v>1</v>
      </c>
      <c r="I654">
        <v>0</v>
      </c>
      <c r="K654" s="1">
        <v>43316</v>
      </c>
      <c r="L654" t="s">
        <v>226</v>
      </c>
      <c r="M654" t="s">
        <v>386</v>
      </c>
      <c r="N654" s="1">
        <v>44193</v>
      </c>
      <c r="Q654">
        <v>9.99</v>
      </c>
      <c r="R654">
        <v>-24.25</v>
      </c>
      <c r="S654">
        <v>-7.61</v>
      </c>
      <c r="T654">
        <v>-2.02</v>
      </c>
      <c r="U654">
        <v>10.1</v>
      </c>
      <c r="V654">
        <v>11.1</v>
      </c>
      <c r="Y654">
        <v>0</v>
      </c>
      <c r="Z654">
        <v>35.61</v>
      </c>
      <c r="AA654">
        <v>11.12</v>
      </c>
      <c r="AB654">
        <v>36.32</v>
      </c>
    </row>
    <row r="655" spans="1:28" hidden="1" x14ac:dyDescent="0.2">
      <c r="A655" s="4" t="s">
        <v>670</v>
      </c>
      <c r="B655" t="s">
        <v>671</v>
      </c>
      <c r="F655">
        <v>69</v>
      </c>
      <c r="G655">
        <v>3.9</v>
      </c>
      <c r="H655">
        <v>1</v>
      </c>
      <c r="I655">
        <v>0</v>
      </c>
      <c r="J655" t="s">
        <v>80</v>
      </c>
      <c r="K655" s="1">
        <v>43316</v>
      </c>
      <c r="L655" t="s">
        <v>39</v>
      </c>
      <c r="M655" t="s">
        <v>197</v>
      </c>
      <c r="N655" s="1">
        <v>44193</v>
      </c>
      <c r="Q655">
        <v>1.62</v>
      </c>
      <c r="R655" s="6">
        <v>24.61</v>
      </c>
      <c r="S655" s="6">
        <v>10.19</v>
      </c>
      <c r="T655" s="6">
        <v>20.74</v>
      </c>
      <c r="U655" s="6">
        <v>14.45</v>
      </c>
      <c r="V655" s="6">
        <v>10.99</v>
      </c>
      <c r="W655" s="6"/>
      <c r="Y655">
        <v>3.6</v>
      </c>
      <c r="Z655">
        <v>16.149999999999999</v>
      </c>
      <c r="AA655">
        <v>15.29</v>
      </c>
      <c r="AB655">
        <v>142.79</v>
      </c>
    </row>
    <row r="656" spans="1:28" hidden="1" x14ac:dyDescent="0.2">
      <c r="A656" t="s">
        <v>1456</v>
      </c>
      <c r="B656" t="s">
        <v>1457</v>
      </c>
      <c r="F656">
        <v>27</v>
      </c>
      <c r="H656">
        <v>1</v>
      </c>
      <c r="I656">
        <v>0</v>
      </c>
      <c r="K656" s="1">
        <v>43316</v>
      </c>
      <c r="L656" t="s">
        <v>95</v>
      </c>
      <c r="M656" t="s">
        <v>558</v>
      </c>
      <c r="N656" s="1">
        <v>44193</v>
      </c>
      <c r="O656">
        <v>5</v>
      </c>
      <c r="Q656">
        <v>9.8800000000000008</v>
      </c>
      <c r="R656">
        <v>14.57</v>
      </c>
      <c r="S656">
        <v>6.58</v>
      </c>
      <c r="T656">
        <v>9.57</v>
      </c>
      <c r="U656">
        <v>7.72</v>
      </c>
      <c r="V656">
        <v>7.28</v>
      </c>
      <c r="X656">
        <v>4</v>
      </c>
      <c r="Y656">
        <v>0</v>
      </c>
      <c r="Z656">
        <v>21.96</v>
      </c>
      <c r="AA656">
        <v>17.82</v>
      </c>
      <c r="AB656">
        <v>25.34</v>
      </c>
    </row>
    <row r="657" spans="1:28" hidden="1" x14ac:dyDescent="0.2">
      <c r="A657" t="s">
        <v>2014</v>
      </c>
      <c r="B657" t="s">
        <v>2015</v>
      </c>
      <c r="N657" s="1">
        <v>44197</v>
      </c>
      <c r="O657">
        <v>701</v>
      </c>
      <c r="P657" t="s">
        <v>2403</v>
      </c>
      <c r="Q657" t="s">
        <v>32</v>
      </c>
      <c r="R657">
        <v>94.97</v>
      </c>
      <c r="S657">
        <v>61.62</v>
      </c>
      <c r="T657">
        <v>44.77</v>
      </c>
      <c r="U657" t="s">
        <v>32</v>
      </c>
      <c r="V657" t="s">
        <v>32</v>
      </c>
      <c r="X657">
        <v>942</v>
      </c>
      <c r="Y657">
        <v>3.1</v>
      </c>
      <c r="Z657">
        <v>16.600000000000001</v>
      </c>
      <c r="AA657">
        <v>11.24</v>
      </c>
      <c r="AB657">
        <v>34.15</v>
      </c>
    </row>
    <row r="658" spans="1:28" hidden="1" x14ac:dyDescent="0.2">
      <c r="A658" t="s">
        <v>1460</v>
      </c>
      <c r="B658" t="s">
        <v>1461</v>
      </c>
      <c r="F658">
        <v>67</v>
      </c>
      <c r="H658">
        <v>1</v>
      </c>
      <c r="I658">
        <v>0</v>
      </c>
      <c r="K658" s="1">
        <v>43316</v>
      </c>
      <c r="L658" t="s">
        <v>99</v>
      </c>
      <c r="M658" t="s">
        <v>1462</v>
      </c>
      <c r="N658" s="1">
        <v>44193</v>
      </c>
      <c r="Q658">
        <v>8.49</v>
      </c>
      <c r="R658">
        <v>-10.26</v>
      </c>
      <c r="S658">
        <v>-10.68</v>
      </c>
      <c r="T658">
        <v>-0.7</v>
      </c>
      <c r="U658">
        <v>10.19</v>
      </c>
      <c r="V658">
        <v>4.57</v>
      </c>
      <c r="Y658">
        <v>6.3</v>
      </c>
      <c r="Z658">
        <v>3.53</v>
      </c>
      <c r="AA658">
        <v>1.46</v>
      </c>
      <c r="AB658">
        <v>10.61</v>
      </c>
    </row>
    <row r="659" spans="1:28" hidden="1" x14ac:dyDescent="0.2">
      <c r="A659" t="s">
        <v>1966</v>
      </c>
      <c r="B659" t="s">
        <v>1967</v>
      </c>
      <c r="N659" s="1">
        <v>44197</v>
      </c>
      <c r="O659">
        <v>-6</v>
      </c>
      <c r="P659" t="s">
        <v>2403</v>
      </c>
      <c r="Q659" t="s">
        <v>32</v>
      </c>
      <c r="R659">
        <v>63.12</v>
      </c>
      <c r="S659">
        <v>-14.65</v>
      </c>
      <c r="T659">
        <v>6.77</v>
      </c>
      <c r="U659">
        <v>-2.08</v>
      </c>
      <c r="V659">
        <v>-5.28</v>
      </c>
      <c r="X659" t="s">
        <v>32</v>
      </c>
      <c r="Y659">
        <v>0</v>
      </c>
      <c r="Z659">
        <v>-0.31</v>
      </c>
      <c r="AA659">
        <v>-0.36</v>
      </c>
      <c r="AB659">
        <v>-1.06</v>
      </c>
    </row>
    <row r="660" spans="1:28" hidden="1" x14ac:dyDescent="0.2">
      <c r="A660" t="s">
        <v>1563</v>
      </c>
      <c r="B660" t="s">
        <v>1564</v>
      </c>
      <c r="L660" t="s">
        <v>43</v>
      </c>
      <c r="M660" t="s">
        <v>47</v>
      </c>
      <c r="N660" s="1">
        <v>44197</v>
      </c>
      <c r="O660">
        <v>3829</v>
      </c>
      <c r="P660" t="s">
        <v>2403</v>
      </c>
      <c r="Q660" t="s">
        <v>32</v>
      </c>
      <c r="R660">
        <v>98.38</v>
      </c>
      <c r="S660">
        <v>33.86</v>
      </c>
      <c r="T660">
        <v>12.98</v>
      </c>
      <c r="U660" t="s">
        <v>32</v>
      </c>
      <c r="V660" t="s">
        <v>32</v>
      </c>
      <c r="X660" t="s">
        <v>32</v>
      </c>
      <c r="Y660">
        <v>0</v>
      </c>
      <c r="Z660">
        <v>4.2300000000000004</v>
      </c>
      <c r="AA660">
        <v>9.5399999999999991</v>
      </c>
      <c r="AB660">
        <v>18.68</v>
      </c>
    </row>
    <row r="661" spans="1:28" hidden="1" x14ac:dyDescent="0.2">
      <c r="A661" t="s">
        <v>1468</v>
      </c>
      <c r="B661" t="s">
        <v>1469</v>
      </c>
      <c r="H661">
        <v>1</v>
      </c>
      <c r="I661">
        <v>0</v>
      </c>
      <c r="J661" t="s">
        <v>68</v>
      </c>
      <c r="K661" s="1">
        <v>43316</v>
      </c>
      <c r="L661" t="s">
        <v>95</v>
      </c>
      <c r="M661" t="s">
        <v>232</v>
      </c>
    </row>
    <row r="662" spans="1:28" hidden="1" x14ac:dyDescent="0.2">
      <c r="A662" t="s">
        <v>1470</v>
      </c>
      <c r="B662" t="s">
        <v>1471</v>
      </c>
      <c r="L662" t="s">
        <v>30</v>
      </c>
      <c r="M662" t="s">
        <v>523</v>
      </c>
      <c r="N662" s="1">
        <v>44193</v>
      </c>
      <c r="Q662">
        <v>0.91</v>
      </c>
      <c r="R662">
        <v>3.31</v>
      </c>
      <c r="S662">
        <v>-4.2</v>
      </c>
      <c r="T662">
        <v>-4.0999999999999996</v>
      </c>
      <c r="U662">
        <v>-8.86</v>
      </c>
      <c r="V662">
        <v>4.78</v>
      </c>
      <c r="Y662">
        <v>0.2</v>
      </c>
      <c r="Z662">
        <v>-13.04</v>
      </c>
      <c r="AA662">
        <v>-5.51</v>
      </c>
      <c r="AB662">
        <v>-11.62</v>
      </c>
    </row>
    <row r="663" spans="1:28" hidden="1" x14ac:dyDescent="0.2">
      <c r="A663" s="4" t="s">
        <v>1287</v>
      </c>
      <c r="B663" t="s">
        <v>1288</v>
      </c>
      <c r="F663">
        <v>71</v>
      </c>
      <c r="H663">
        <v>1</v>
      </c>
      <c r="I663">
        <v>0</v>
      </c>
      <c r="J663" t="s">
        <v>80</v>
      </c>
      <c r="K663" s="1">
        <v>43316</v>
      </c>
      <c r="L663" t="s">
        <v>95</v>
      </c>
      <c r="M663" t="s">
        <v>913</v>
      </c>
      <c r="N663" s="1">
        <v>44193</v>
      </c>
      <c r="O663">
        <v>1020</v>
      </c>
      <c r="Q663">
        <v>2.02</v>
      </c>
      <c r="R663" s="6">
        <v>24.55</v>
      </c>
      <c r="S663" s="6">
        <v>28.97</v>
      </c>
      <c r="T663" s="6">
        <v>28.79</v>
      </c>
      <c r="U663" s="6">
        <v>16.52</v>
      </c>
      <c r="V663" s="6">
        <v>10.06</v>
      </c>
      <c r="W663" s="6"/>
      <c r="X663">
        <v>668</v>
      </c>
      <c r="Y663">
        <v>3.3</v>
      </c>
      <c r="Z663">
        <v>25.89</v>
      </c>
      <c r="AA663">
        <v>16.57</v>
      </c>
      <c r="AB663">
        <v>21.5</v>
      </c>
    </row>
    <row r="664" spans="1:28" hidden="1" x14ac:dyDescent="0.2">
      <c r="A664" t="s">
        <v>1474</v>
      </c>
      <c r="B664" t="s">
        <v>1475</v>
      </c>
      <c r="F664">
        <v>72</v>
      </c>
      <c r="H664">
        <v>1</v>
      </c>
      <c r="I664">
        <v>0</v>
      </c>
      <c r="K664" s="1">
        <v>43316</v>
      </c>
      <c r="L664" t="s">
        <v>226</v>
      </c>
      <c r="M664" t="s">
        <v>227</v>
      </c>
      <c r="N664" s="1">
        <v>44193</v>
      </c>
      <c r="Q664">
        <v>5.97</v>
      </c>
      <c r="R664">
        <v>-28.6</v>
      </c>
      <c r="S664">
        <v>-10.55</v>
      </c>
      <c r="T664">
        <v>-0.88</v>
      </c>
      <c r="U664" t="s">
        <v>32</v>
      </c>
      <c r="V664" t="s">
        <v>32</v>
      </c>
      <c r="Y664">
        <v>0</v>
      </c>
      <c r="Z664">
        <v>-10.44</v>
      </c>
      <c r="AA664">
        <v>-10.62</v>
      </c>
      <c r="AB664">
        <v>-34.409999999999997</v>
      </c>
    </row>
    <row r="665" spans="1:28" hidden="1" x14ac:dyDescent="0.2">
      <c r="A665" t="s">
        <v>1476</v>
      </c>
      <c r="B665" t="s">
        <v>1477</v>
      </c>
      <c r="F665">
        <v>48</v>
      </c>
      <c r="H665">
        <v>1</v>
      </c>
      <c r="I665">
        <v>0</v>
      </c>
      <c r="K665" s="1">
        <v>43316</v>
      </c>
      <c r="L665" t="s">
        <v>26</v>
      </c>
      <c r="M665" t="s">
        <v>202</v>
      </c>
      <c r="N665" s="1">
        <v>44193</v>
      </c>
      <c r="O665">
        <v>11517</v>
      </c>
      <c r="Q665">
        <v>3.04</v>
      </c>
      <c r="R665">
        <v>-9.65</v>
      </c>
      <c r="S665">
        <v>15.51</v>
      </c>
      <c r="T665">
        <v>11.38</v>
      </c>
      <c r="U665">
        <v>10.58</v>
      </c>
      <c r="V665">
        <v>8.32</v>
      </c>
      <c r="X665">
        <v>10269</v>
      </c>
      <c r="Y665">
        <v>1.2</v>
      </c>
      <c r="Z665">
        <v>24.32</v>
      </c>
      <c r="AA665">
        <v>13.3</v>
      </c>
      <c r="AB665">
        <v>41.11</v>
      </c>
    </row>
    <row r="666" spans="1:28" hidden="1" x14ac:dyDescent="0.2">
      <c r="A666" t="s">
        <v>1390</v>
      </c>
      <c r="B666" t="s">
        <v>1391</v>
      </c>
      <c r="L666" t="s">
        <v>95</v>
      </c>
      <c r="M666" t="s">
        <v>542</v>
      </c>
      <c r="N666" s="1">
        <v>44197</v>
      </c>
      <c r="O666">
        <v>803</v>
      </c>
      <c r="P666" t="s">
        <v>2403</v>
      </c>
      <c r="Q666" t="s">
        <v>32</v>
      </c>
      <c r="R666">
        <v>110.38</v>
      </c>
      <c r="S666" t="s">
        <v>32</v>
      </c>
      <c r="T666" t="s">
        <v>32</v>
      </c>
      <c r="U666" t="s">
        <v>32</v>
      </c>
      <c r="V666" t="s">
        <v>32</v>
      </c>
      <c r="X666" t="s">
        <v>32</v>
      </c>
      <c r="Y666">
        <v>0</v>
      </c>
      <c r="Z666">
        <v>27.26</v>
      </c>
      <c r="AA666">
        <v>3.41</v>
      </c>
      <c r="AB666">
        <v>7.97</v>
      </c>
    </row>
    <row r="667" spans="1:28" hidden="1" x14ac:dyDescent="0.2">
      <c r="A667" t="s">
        <v>1480</v>
      </c>
      <c r="B667" t="s">
        <v>1481</v>
      </c>
      <c r="F667">
        <v>48</v>
      </c>
      <c r="H667">
        <v>1</v>
      </c>
      <c r="I667">
        <v>0</v>
      </c>
      <c r="K667" s="1">
        <v>43316</v>
      </c>
      <c r="L667" t="s">
        <v>226</v>
      </c>
      <c r="M667" t="s">
        <v>243</v>
      </c>
      <c r="N667" s="1">
        <v>44193</v>
      </c>
      <c r="Q667">
        <v>2.2000000000000002</v>
      </c>
      <c r="R667">
        <v>-50.73</v>
      </c>
      <c r="S667">
        <v>-25.07</v>
      </c>
      <c r="T667">
        <v>-11.62</v>
      </c>
      <c r="U667">
        <v>-1.62</v>
      </c>
      <c r="V667">
        <v>0.89</v>
      </c>
      <c r="Y667">
        <v>0</v>
      </c>
      <c r="Z667">
        <v>-32.299999999999997</v>
      </c>
      <c r="AA667">
        <v>-5.8</v>
      </c>
      <c r="AB667">
        <v>-9.7799999999999994</v>
      </c>
    </row>
    <row r="668" spans="1:28" hidden="1" x14ac:dyDescent="0.2">
      <c r="A668" t="s">
        <v>1482</v>
      </c>
      <c r="B668" t="s">
        <v>1483</v>
      </c>
      <c r="F668">
        <v>65</v>
      </c>
      <c r="H668">
        <v>1</v>
      </c>
      <c r="I668">
        <v>0</v>
      </c>
      <c r="K668" s="1">
        <v>43316</v>
      </c>
      <c r="L668" t="s">
        <v>35</v>
      </c>
      <c r="M668" t="s">
        <v>210</v>
      </c>
      <c r="N668" s="1">
        <v>44193</v>
      </c>
      <c r="Q668">
        <v>2.2599999999999998</v>
      </c>
      <c r="R668">
        <v>37.090000000000003</v>
      </c>
      <c r="S668">
        <v>10.89</v>
      </c>
      <c r="T668">
        <v>17.739999999999998</v>
      </c>
      <c r="U668">
        <v>10.59</v>
      </c>
      <c r="V668">
        <v>3.03</v>
      </c>
      <c r="Y668">
        <v>0</v>
      </c>
      <c r="Z668">
        <v>21.86</v>
      </c>
      <c r="AA668">
        <v>1</v>
      </c>
      <c r="AB668">
        <v>12.12</v>
      </c>
    </row>
    <row r="669" spans="1:28" hidden="1" x14ac:dyDescent="0.2">
      <c r="A669" s="4" t="s">
        <v>93</v>
      </c>
      <c r="B669" t="s">
        <v>94</v>
      </c>
      <c r="F669">
        <v>78</v>
      </c>
      <c r="I669">
        <v>0</v>
      </c>
      <c r="J669" t="s">
        <v>53</v>
      </c>
      <c r="K669" s="1">
        <v>43316</v>
      </c>
      <c r="L669" t="s">
        <v>95</v>
      </c>
      <c r="M669" t="s">
        <v>96</v>
      </c>
      <c r="N669" s="1">
        <v>44189</v>
      </c>
      <c r="O669">
        <v>1221</v>
      </c>
      <c r="P669">
        <v>15900</v>
      </c>
      <c r="Q669">
        <v>1.73</v>
      </c>
      <c r="R669" s="6">
        <v>22.26</v>
      </c>
      <c r="S669" s="6">
        <v>19.010000000000002</v>
      </c>
      <c r="T669" s="6">
        <v>22.1</v>
      </c>
      <c r="U669" s="6">
        <v>15.55</v>
      </c>
      <c r="V669" s="6">
        <v>10.42</v>
      </c>
      <c r="W669" s="6"/>
      <c r="X669">
        <v>1051</v>
      </c>
      <c r="Y669">
        <v>2.2000000000000002</v>
      </c>
      <c r="Z669">
        <v>21.79</v>
      </c>
      <c r="AA669">
        <v>5.7</v>
      </c>
      <c r="AB669">
        <v>10.3</v>
      </c>
    </row>
    <row r="670" spans="1:28" hidden="1" x14ac:dyDescent="0.2">
      <c r="A670" t="s">
        <v>1486</v>
      </c>
      <c r="B670" t="s">
        <v>1487</v>
      </c>
      <c r="F670">
        <v>53</v>
      </c>
      <c r="H670">
        <v>1</v>
      </c>
      <c r="I670">
        <v>0</v>
      </c>
      <c r="K670" s="1">
        <v>43316</v>
      </c>
      <c r="L670" t="s">
        <v>95</v>
      </c>
      <c r="M670" t="s">
        <v>410</v>
      </c>
      <c r="N670" s="1">
        <v>44193</v>
      </c>
      <c r="O670">
        <v>780</v>
      </c>
      <c r="Q670">
        <v>1.49</v>
      </c>
      <c r="R670">
        <v>5.83</v>
      </c>
      <c r="S670">
        <v>24.6</v>
      </c>
      <c r="T670">
        <v>21.01</v>
      </c>
      <c r="U670">
        <v>12.65</v>
      </c>
      <c r="V670">
        <v>1.73</v>
      </c>
      <c r="X670">
        <v>687</v>
      </c>
      <c r="Y670">
        <v>1.7</v>
      </c>
    </row>
    <row r="671" spans="1:28" hidden="1" x14ac:dyDescent="0.2">
      <c r="A671" t="s">
        <v>1488</v>
      </c>
      <c r="B671" t="s">
        <v>1489</v>
      </c>
      <c r="H671">
        <v>1</v>
      </c>
      <c r="I671">
        <v>0</v>
      </c>
      <c r="K671" s="1">
        <v>43316</v>
      </c>
      <c r="L671" t="s">
        <v>35</v>
      </c>
      <c r="M671" t="s">
        <v>235</v>
      </c>
      <c r="N671" s="1">
        <v>44193</v>
      </c>
      <c r="Q671">
        <v>3.78</v>
      </c>
      <c r="R671">
        <v>-23.61</v>
      </c>
      <c r="S671">
        <v>-7.49</v>
      </c>
      <c r="T671">
        <v>2.98</v>
      </c>
      <c r="U671">
        <v>6.3</v>
      </c>
      <c r="V671">
        <v>2.93</v>
      </c>
      <c r="Y671">
        <v>42.1</v>
      </c>
      <c r="Z671">
        <v>21.88</v>
      </c>
      <c r="AA671">
        <v>0.98</v>
      </c>
      <c r="AB671">
        <v>8.85</v>
      </c>
    </row>
    <row r="672" spans="1:28" hidden="1" x14ac:dyDescent="0.2">
      <c r="A672" t="s">
        <v>2125</v>
      </c>
      <c r="B672" t="s">
        <v>2126</v>
      </c>
      <c r="N672" s="1">
        <v>44197</v>
      </c>
      <c r="O672">
        <v>-106</v>
      </c>
      <c r="P672" t="s">
        <v>2403</v>
      </c>
      <c r="Q672" t="s">
        <v>32</v>
      </c>
      <c r="R672">
        <v>124.68</v>
      </c>
      <c r="S672">
        <v>98.57</v>
      </c>
      <c r="T672">
        <v>74.27</v>
      </c>
      <c r="U672" t="s">
        <v>32</v>
      </c>
      <c r="V672" t="s">
        <v>32</v>
      </c>
      <c r="X672">
        <v>172</v>
      </c>
      <c r="Y672">
        <v>9.5</v>
      </c>
      <c r="Z672">
        <v>-9.66</v>
      </c>
      <c r="AA672">
        <v>-6.7</v>
      </c>
      <c r="AB672">
        <v>-31.9</v>
      </c>
    </row>
    <row r="673" spans="1:28" hidden="1" x14ac:dyDescent="0.2">
      <c r="A673" t="s">
        <v>1820</v>
      </c>
      <c r="B673" t="s">
        <v>1821</v>
      </c>
      <c r="N673" s="1">
        <v>44197</v>
      </c>
      <c r="O673">
        <v>5</v>
      </c>
      <c r="P673" t="s">
        <v>2403</v>
      </c>
      <c r="Q673" t="s">
        <v>32</v>
      </c>
      <c r="R673">
        <v>125.6</v>
      </c>
      <c r="S673">
        <v>17.399999999999999</v>
      </c>
      <c r="T673">
        <v>32.56</v>
      </c>
      <c r="U673">
        <v>12.6</v>
      </c>
      <c r="V673">
        <v>15.34</v>
      </c>
      <c r="X673">
        <v>381</v>
      </c>
      <c r="Y673">
        <v>0</v>
      </c>
      <c r="Z673">
        <v>-0.04</v>
      </c>
      <c r="AA673">
        <v>-0.02</v>
      </c>
      <c r="AB673">
        <v>-0.05</v>
      </c>
    </row>
    <row r="674" spans="1:28" hidden="1" x14ac:dyDescent="0.2">
      <c r="A674" s="4" t="s">
        <v>731</v>
      </c>
      <c r="B674" t="s">
        <v>732</v>
      </c>
      <c r="F674">
        <v>79</v>
      </c>
      <c r="I674">
        <v>0</v>
      </c>
      <c r="J674" t="s">
        <v>53</v>
      </c>
      <c r="K674" s="1">
        <v>43316</v>
      </c>
      <c r="L674" t="s">
        <v>71</v>
      </c>
      <c r="M674" t="s">
        <v>454</v>
      </c>
      <c r="N674" s="1">
        <v>44192</v>
      </c>
      <c r="Q674">
        <v>3.29</v>
      </c>
      <c r="R674" s="6">
        <v>21.56</v>
      </c>
      <c r="S674" s="6">
        <v>10.63</v>
      </c>
      <c r="T674" s="6">
        <v>15.83</v>
      </c>
      <c r="U674" s="6">
        <v>13.27</v>
      </c>
      <c r="V674" s="6">
        <v>14.59</v>
      </c>
      <c r="W674" s="6"/>
      <c r="Y674">
        <v>5.3</v>
      </c>
      <c r="Z674">
        <v>14.74</v>
      </c>
      <c r="AA674">
        <v>1.82</v>
      </c>
      <c r="AB674">
        <v>4.2699999999999996</v>
      </c>
    </row>
    <row r="675" spans="1:28" hidden="1" x14ac:dyDescent="0.2">
      <c r="A675" t="s">
        <v>770</v>
      </c>
      <c r="B675" t="s">
        <v>771</v>
      </c>
      <c r="L675" t="s">
        <v>39</v>
      </c>
      <c r="M675" t="s">
        <v>748</v>
      </c>
      <c r="N675" s="1">
        <v>44197</v>
      </c>
      <c r="O675">
        <v>311</v>
      </c>
      <c r="P675" t="s">
        <v>2403</v>
      </c>
      <c r="Q675" t="s">
        <v>32</v>
      </c>
      <c r="R675">
        <v>6.27</v>
      </c>
      <c r="S675">
        <v>11.68</v>
      </c>
      <c r="T675">
        <v>31.44</v>
      </c>
      <c r="U675">
        <v>16.670000000000002</v>
      </c>
      <c r="V675">
        <v>13.3</v>
      </c>
      <c r="X675" t="s">
        <v>32</v>
      </c>
      <c r="Y675">
        <v>0</v>
      </c>
      <c r="Z675">
        <v>4.8600000000000003</v>
      </c>
      <c r="AA675">
        <v>6.18</v>
      </c>
      <c r="AB675">
        <v>17.510000000000002</v>
      </c>
    </row>
    <row r="676" spans="1:28" hidden="1" x14ac:dyDescent="0.2">
      <c r="A676" t="s">
        <v>1498</v>
      </c>
      <c r="B676" t="s">
        <v>1499</v>
      </c>
      <c r="H676">
        <v>1</v>
      </c>
      <c r="I676">
        <v>0</v>
      </c>
      <c r="J676" t="s">
        <v>68</v>
      </c>
      <c r="K676" s="1">
        <v>43316</v>
      </c>
      <c r="L676" t="s">
        <v>95</v>
      </c>
      <c r="M676" t="s">
        <v>1500</v>
      </c>
    </row>
    <row r="677" spans="1:28" hidden="1" x14ac:dyDescent="0.2">
      <c r="A677" t="s">
        <v>1501</v>
      </c>
      <c r="B677" t="s">
        <v>1502</v>
      </c>
      <c r="F677">
        <v>28</v>
      </c>
      <c r="H677">
        <v>1</v>
      </c>
      <c r="I677">
        <v>0</v>
      </c>
      <c r="K677" s="1">
        <v>43316</v>
      </c>
      <c r="L677" t="s">
        <v>43</v>
      </c>
      <c r="M677" t="s">
        <v>47</v>
      </c>
      <c r="N677" s="1">
        <v>44193</v>
      </c>
      <c r="Q677">
        <v>0.2</v>
      </c>
      <c r="R677">
        <v>9.24</v>
      </c>
      <c r="S677">
        <v>17.78</v>
      </c>
      <c r="T677">
        <v>15.99</v>
      </c>
      <c r="U677" t="s">
        <v>32</v>
      </c>
      <c r="V677" t="s">
        <v>32</v>
      </c>
      <c r="Y677">
        <v>0</v>
      </c>
      <c r="Z677">
        <v>3.14</v>
      </c>
      <c r="AA677">
        <v>13.79</v>
      </c>
      <c r="AB677">
        <v>44.51</v>
      </c>
    </row>
    <row r="678" spans="1:28" hidden="1" x14ac:dyDescent="0.2">
      <c r="A678" t="s">
        <v>1503</v>
      </c>
      <c r="B678" t="s">
        <v>1504</v>
      </c>
      <c r="F678">
        <v>33</v>
      </c>
      <c r="H678">
        <v>1</v>
      </c>
      <c r="I678">
        <v>0</v>
      </c>
      <c r="J678" t="s">
        <v>80</v>
      </c>
      <c r="K678" s="1">
        <v>43316</v>
      </c>
      <c r="L678" t="s">
        <v>95</v>
      </c>
      <c r="M678" t="s">
        <v>96</v>
      </c>
      <c r="N678" s="1">
        <v>44193</v>
      </c>
      <c r="O678">
        <v>684</v>
      </c>
      <c r="Q678">
        <v>2.31</v>
      </c>
      <c r="R678">
        <v>43.61</v>
      </c>
      <c r="S678">
        <v>19.920000000000002</v>
      </c>
      <c r="T678">
        <v>20.02</v>
      </c>
      <c r="U678">
        <v>15.4</v>
      </c>
      <c r="V678">
        <v>6.87</v>
      </c>
      <c r="X678">
        <v>447</v>
      </c>
      <c r="Y678">
        <v>2.6</v>
      </c>
      <c r="Z678">
        <v>30.03</v>
      </c>
      <c r="AA678">
        <v>18.649999999999999</v>
      </c>
      <c r="AB678">
        <v>39.17</v>
      </c>
    </row>
    <row r="679" spans="1:28" hidden="1" x14ac:dyDescent="0.2">
      <c r="A679" t="s">
        <v>1505</v>
      </c>
      <c r="B679" t="s">
        <v>1506</v>
      </c>
      <c r="H679">
        <v>1</v>
      </c>
      <c r="I679">
        <v>0</v>
      </c>
      <c r="K679" s="1">
        <v>43316</v>
      </c>
      <c r="L679" t="s">
        <v>26</v>
      </c>
      <c r="M679" t="s">
        <v>530</v>
      </c>
      <c r="N679" s="1">
        <v>44193</v>
      </c>
      <c r="R679">
        <v>100</v>
      </c>
      <c r="S679">
        <v>13.57</v>
      </c>
      <c r="T679">
        <v>30.86</v>
      </c>
      <c r="U679">
        <v>-2.0499999999999998</v>
      </c>
      <c r="V679" t="s">
        <v>32</v>
      </c>
      <c r="Y679">
        <v>0</v>
      </c>
    </row>
    <row r="680" spans="1:28" hidden="1" x14ac:dyDescent="0.2">
      <c r="A680" t="s">
        <v>830</v>
      </c>
      <c r="B680" t="s">
        <v>831</v>
      </c>
      <c r="N680" s="1">
        <v>44194</v>
      </c>
      <c r="R680">
        <v>134.24</v>
      </c>
      <c r="S680" t="s">
        <v>32</v>
      </c>
      <c r="T680" t="s">
        <v>32</v>
      </c>
      <c r="U680" t="s">
        <v>32</v>
      </c>
      <c r="V680" t="s">
        <v>32</v>
      </c>
      <c r="Y680">
        <v>0</v>
      </c>
      <c r="Z680">
        <v>-24.21</v>
      </c>
      <c r="AA680">
        <v>-15.12</v>
      </c>
      <c r="AB680">
        <v>-28.22</v>
      </c>
    </row>
    <row r="681" spans="1:28" hidden="1" x14ac:dyDescent="0.2">
      <c r="A681" t="s">
        <v>1509</v>
      </c>
      <c r="B681" t="s">
        <v>1510</v>
      </c>
      <c r="N681" s="1">
        <v>44193</v>
      </c>
      <c r="Q681">
        <v>0.19</v>
      </c>
      <c r="R681">
        <v>24.41</v>
      </c>
      <c r="S681">
        <v>-10.8</v>
      </c>
      <c r="T681">
        <v>7.32</v>
      </c>
      <c r="U681" t="s">
        <v>32</v>
      </c>
      <c r="V681" t="s">
        <v>32</v>
      </c>
      <c r="Y681">
        <v>0</v>
      </c>
      <c r="Z681">
        <v>63.34</v>
      </c>
      <c r="AA681">
        <v>7.47</v>
      </c>
      <c r="AB681">
        <v>12.57</v>
      </c>
    </row>
    <row r="682" spans="1:28" hidden="1" x14ac:dyDescent="0.2">
      <c r="A682" t="s">
        <v>1603</v>
      </c>
      <c r="B682" t="s">
        <v>1604</v>
      </c>
      <c r="L682" t="s">
        <v>39</v>
      </c>
      <c r="M682" t="s">
        <v>1605</v>
      </c>
      <c r="N682" s="1">
        <v>44197</v>
      </c>
      <c r="O682">
        <v>-347</v>
      </c>
      <c r="P682" t="s">
        <v>2403</v>
      </c>
      <c r="Q682" t="s">
        <v>32</v>
      </c>
      <c r="R682">
        <v>51.9</v>
      </c>
      <c r="S682">
        <v>0.83</v>
      </c>
      <c r="T682">
        <v>37.82</v>
      </c>
      <c r="U682">
        <v>-2.72</v>
      </c>
      <c r="V682">
        <v>2.9</v>
      </c>
      <c r="X682">
        <v>321</v>
      </c>
      <c r="Y682">
        <v>0</v>
      </c>
      <c r="Z682" t="s">
        <v>2403</v>
      </c>
      <c r="AA682" t="s">
        <v>2403</v>
      </c>
      <c r="AB682" t="s">
        <v>2403</v>
      </c>
    </row>
    <row r="683" spans="1:28" hidden="1" x14ac:dyDescent="0.2">
      <c r="A683" t="s">
        <v>1513</v>
      </c>
      <c r="B683" t="s">
        <v>1514</v>
      </c>
      <c r="L683" t="s">
        <v>35</v>
      </c>
      <c r="M683" t="s">
        <v>106</v>
      </c>
      <c r="N683" s="1">
        <v>44193</v>
      </c>
      <c r="Q683">
        <v>6.83</v>
      </c>
      <c r="R683">
        <v>-25.27</v>
      </c>
      <c r="S683">
        <v>-4.33</v>
      </c>
      <c r="T683">
        <v>0.56000000000000005</v>
      </c>
      <c r="U683" t="s">
        <v>32</v>
      </c>
      <c r="V683" t="s">
        <v>32</v>
      </c>
      <c r="Y683">
        <v>0</v>
      </c>
      <c r="Z683">
        <v>23.5</v>
      </c>
      <c r="AA683">
        <v>0.43</v>
      </c>
      <c r="AB683">
        <v>14.52</v>
      </c>
    </row>
    <row r="684" spans="1:28" hidden="1" x14ac:dyDescent="0.2">
      <c r="A684" t="s">
        <v>930</v>
      </c>
      <c r="B684" t="s">
        <v>930</v>
      </c>
      <c r="L684" t="s">
        <v>95</v>
      </c>
      <c r="M684" t="s">
        <v>511</v>
      </c>
      <c r="N684" s="1">
        <v>44197</v>
      </c>
      <c r="O684">
        <v>467</v>
      </c>
      <c r="P684" t="s">
        <v>2403</v>
      </c>
      <c r="Q684" t="s">
        <v>32</v>
      </c>
      <c r="R684">
        <v>6.85</v>
      </c>
      <c r="S684">
        <v>3.39</v>
      </c>
      <c r="T684">
        <v>8.9600000000000009</v>
      </c>
      <c r="U684">
        <v>9.35</v>
      </c>
      <c r="V684">
        <v>4.26</v>
      </c>
      <c r="X684">
        <v>243</v>
      </c>
      <c r="Y684">
        <v>0</v>
      </c>
      <c r="Z684">
        <v>6.84</v>
      </c>
      <c r="AA684">
        <v>4.84</v>
      </c>
      <c r="AB684">
        <v>46.02</v>
      </c>
    </row>
    <row r="685" spans="1:28" hidden="1" x14ac:dyDescent="0.2">
      <c r="A685" t="s">
        <v>639</v>
      </c>
      <c r="B685" t="s">
        <v>640</v>
      </c>
      <c r="N685" s="1">
        <v>44194</v>
      </c>
      <c r="O685">
        <v>208</v>
      </c>
      <c r="R685">
        <v>135.25</v>
      </c>
      <c r="S685">
        <v>44.75</v>
      </c>
      <c r="T685">
        <v>11.86</v>
      </c>
      <c r="U685">
        <v>15.28</v>
      </c>
      <c r="V685" t="s">
        <v>32</v>
      </c>
      <c r="X685">
        <v>45</v>
      </c>
      <c r="Y685">
        <v>0</v>
      </c>
      <c r="Z685">
        <v>6.19</v>
      </c>
      <c r="AA685">
        <v>3.61</v>
      </c>
      <c r="AB685">
        <v>14.7</v>
      </c>
    </row>
    <row r="686" spans="1:28" hidden="1" x14ac:dyDescent="0.2">
      <c r="A686" t="s">
        <v>1519</v>
      </c>
      <c r="B686" t="s">
        <v>1520</v>
      </c>
      <c r="F686">
        <v>66</v>
      </c>
      <c r="H686">
        <v>1</v>
      </c>
      <c r="I686">
        <v>0</v>
      </c>
      <c r="J686" t="s">
        <v>53</v>
      </c>
      <c r="K686" s="1">
        <v>43316</v>
      </c>
      <c r="L686" t="s">
        <v>35</v>
      </c>
      <c r="M686" t="s">
        <v>580</v>
      </c>
      <c r="N686" s="1">
        <v>44193</v>
      </c>
      <c r="Q686">
        <v>1.5</v>
      </c>
      <c r="R686">
        <v>22.37</v>
      </c>
      <c r="S686">
        <v>20.79</v>
      </c>
      <c r="T686">
        <v>18.72</v>
      </c>
      <c r="U686">
        <v>19.309999999999999</v>
      </c>
      <c r="V686">
        <v>9.09</v>
      </c>
      <c r="Y686">
        <v>3.2</v>
      </c>
      <c r="Z686">
        <v>17.420000000000002</v>
      </c>
      <c r="AA686">
        <v>6.55</v>
      </c>
      <c r="AB686">
        <v>16.07</v>
      </c>
    </row>
    <row r="687" spans="1:28" hidden="1" x14ac:dyDescent="0.2">
      <c r="A687" s="4" t="s">
        <v>685</v>
      </c>
      <c r="B687" t="s">
        <v>686</v>
      </c>
      <c r="F687">
        <v>84</v>
      </c>
      <c r="G687">
        <v>3.9</v>
      </c>
      <c r="H687">
        <v>0</v>
      </c>
      <c r="I687">
        <v>0</v>
      </c>
      <c r="J687" t="s">
        <v>53</v>
      </c>
      <c r="K687" s="1">
        <v>43716</v>
      </c>
      <c r="L687" t="s">
        <v>95</v>
      </c>
      <c r="M687" t="s">
        <v>542</v>
      </c>
      <c r="N687" s="1">
        <v>44192</v>
      </c>
      <c r="O687">
        <v>470</v>
      </c>
      <c r="Q687">
        <v>0.42</v>
      </c>
      <c r="R687" s="6">
        <v>21.48</v>
      </c>
      <c r="S687" s="6">
        <v>23.92</v>
      </c>
      <c r="T687" s="6">
        <v>20.239999999999998</v>
      </c>
      <c r="U687" s="6">
        <v>18.399999999999999</v>
      </c>
      <c r="V687" s="6">
        <v>14.04</v>
      </c>
      <c r="W687" s="6"/>
      <c r="X687">
        <v>914</v>
      </c>
      <c r="Y687">
        <v>3.2</v>
      </c>
      <c r="Z687">
        <v>10.65</v>
      </c>
      <c r="AA687">
        <v>3.76</v>
      </c>
      <c r="AB687">
        <v>9.09</v>
      </c>
    </row>
    <row r="688" spans="1:28" hidden="1" x14ac:dyDescent="0.2">
      <c r="A688" s="4" t="s">
        <v>395</v>
      </c>
      <c r="B688" s="4" t="s">
        <v>396</v>
      </c>
      <c r="C688" s="4"/>
      <c r="D688" s="4"/>
      <c r="E688" s="4"/>
      <c r="F688" s="4">
        <v>63</v>
      </c>
      <c r="G688" s="4"/>
      <c r="H688" s="4">
        <v>1</v>
      </c>
      <c r="I688" s="4">
        <v>0</v>
      </c>
      <c r="J688" s="4" t="s">
        <v>53</v>
      </c>
      <c r="K688" s="1">
        <v>43316</v>
      </c>
      <c r="L688" s="4" t="s">
        <v>35</v>
      </c>
      <c r="M688" s="4" t="s">
        <v>210</v>
      </c>
      <c r="N688" s="1">
        <v>44193</v>
      </c>
      <c r="O688" s="4"/>
      <c r="P688" s="4"/>
      <c r="Q688" s="4">
        <v>0.79</v>
      </c>
      <c r="R688" s="7">
        <v>18.03</v>
      </c>
      <c r="S688" s="7">
        <v>24.68</v>
      </c>
      <c r="T688" s="7">
        <v>23.52</v>
      </c>
      <c r="U688" s="4">
        <v>27.22</v>
      </c>
      <c r="V688" s="7">
        <v>10.93</v>
      </c>
      <c r="W688" s="7"/>
      <c r="X688" s="4"/>
      <c r="Y688">
        <v>2.4</v>
      </c>
      <c r="Z688">
        <v>34.32</v>
      </c>
      <c r="AA688">
        <v>17.25</v>
      </c>
      <c r="AB688">
        <v>185.22</v>
      </c>
    </row>
    <row r="689" spans="1:28" hidden="1" x14ac:dyDescent="0.2">
      <c r="A689" t="s">
        <v>1525</v>
      </c>
      <c r="B689" t="s">
        <v>1526</v>
      </c>
      <c r="L689" t="s">
        <v>30</v>
      </c>
      <c r="M689" t="s">
        <v>1039</v>
      </c>
      <c r="N689" s="1">
        <v>44193</v>
      </c>
      <c r="O689">
        <v>2570</v>
      </c>
      <c r="Q689">
        <v>1.33</v>
      </c>
      <c r="R689">
        <v>45.85</v>
      </c>
      <c r="S689">
        <v>19.829999999999998</v>
      </c>
      <c r="T689">
        <v>28.08</v>
      </c>
      <c r="U689">
        <v>1.22</v>
      </c>
      <c r="V689">
        <v>2</v>
      </c>
      <c r="X689">
        <v>140</v>
      </c>
      <c r="Y689">
        <v>0.8</v>
      </c>
      <c r="Z689">
        <v>23.19</v>
      </c>
      <c r="AA689">
        <v>6.32</v>
      </c>
      <c r="AB689">
        <v>11.66</v>
      </c>
    </row>
    <row r="690" spans="1:28" hidden="1" x14ac:dyDescent="0.2">
      <c r="A690" t="s">
        <v>1986</v>
      </c>
      <c r="B690" t="s">
        <v>1987</v>
      </c>
      <c r="N690" s="1">
        <v>44197</v>
      </c>
      <c r="O690">
        <v>-132</v>
      </c>
      <c r="P690" t="s">
        <v>2403</v>
      </c>
      <c r="Q690" t="s">
        <v>32</v>
      </c>
      <c r="R690">
        <v>-0.47</v>
      </c>
      <c r="S690">
        <v>4.22</v>
      </c>
      <c r="T690">
        <v>12.41</v>
      </c>
      <c r="U690" t="s">
        <v>32</v>
      </c>
      <c r="V690" t="s">
        <v>32</v>
      </c>
      <c r="X690">
        <v>165</v>
      </c>
      <c r="Y690">
        <v>181.7</v>
      </c>
      <c r="Z690">
        <v>-20.65</v>
      </c>
      <c r="AA690">
        <v>-11.07</v>
      </c>
      <c r="AB690">
        <v>-34.92</v>
      </c>
    </row>
    <row r="691" spans="1:28" hidden="1" x14ac:dyDescent="0.2">
      <c r="A691" t="s">
        <v>2109</v>
      </c>
      <c r="B691" t="s">
        <v>2110</v>
      </c>
      <c r="N691" s="1">
        <v>44197</v>
      </c>
      <c r="O691">
        <v>-88</v>
      </c>
      <c r="P691" t="s">
        <v>2403</v>
      </c>
      <c r="Q691" t="s">
        <v>32</v>
      </c>
      <c r="R691">
        <v>157.03</v>
      </c>
      <c r="S691" t="s">
        <v>32</v>
      </c>
      <c r="T691" t="s">
        <v>32</v>
      </c>
      <c r="U691" t="s">
        <v>32</v>
      </c>
      <c r="V691" t="s">
        <v>32</v>
      </c>
      <c r="X691">
        <v>131</v>
      </c>
      <c r="Y691">
        <v>0</v>
      </c>
      <c r="Z691">
        <v>-112.63</v>
      </c>
      <c r="AA691">
        <v>-17.04</v>
      </c>
      <c r="AB691">
        <v>-24.28</v>
      </c>
    </row>
    <row r="692" spans="1:28" hidden="1" x14ac:dyDescent="0.2">
      <c r="A692" t="s">
        <v>1531</v>
      </c>
      <c r="B692" t="s">
        <v>1532</v>
      </c>
      <c r="F692">
        <v>18</v>
      </c>
      <c r="H692">
        <v>1</v>
      </c>
      <c r="I692">
        <v>0</v>
      </c>
      <c r="K692" s="1">
        <v>43316</v>
      </c>
      <c r="L692" t="s">
        <v>226</v>
      </c>
      <c r="M692" t="s">
        <v>227</v>
      </c>
      <c r="N692" s="1">
        <v>44193</v>
      </c>
      <c r="Q692">
        <v>40.83</v>
      </c>
      <c r="R692">
        <v>-68.599999999999994</v>
      </c>
      <c r="S692">
        <v>-22.23</v>
      </c>
      <c r="T692">
        <v>-1.9</v>
      </c>
      <c r="U692" t="s">
        <v>32</v>
      </c>
      <c r="V692" t="s">
        <v>32</v>
      </c>
      <c r="Y692">
        <v>0</v>
      </c>
      <c r="Z692">
        <v>-5.43</v>
      </c>
      <c r="AA692">
        <v>-4.96</v>
      </c>
      <c r="AB692">
        <v>-14.52</v>
      </c>
    </row>
    <row r="693" spans="1:28" hidden="1" x14ac:dyDescent="0.2">
      <c r="A693" t="s">
        <v>1533</v>
      </c>
      <c r="B693" t="s">
        <v>1534</v>
      </c>
      <c r="H693">
        <v>1</v>
      </c>
      <c r="I693">
        <v>0</v>
      </c>
      <c r="K693" s="1">
        <v>43316</v>
      </c>
      <c r="L693" t="s">
        <v>71</v>
      </c>
      <c r="M693" t="s">
        <v>648</v>
      </c>
      <c r="N693" s="1">
        <v>44193</v>
      </c>
      <c r="Q693">
        <v>6.74</v>
      </c>
      <c r="R693">
        <v>-8.4499999999999993</v>
      </c>
      <c r="S693">
        <v>2.64</v>
      </c>
      <c r="T693">
        <v>7.76</v>
      </c>
      <c r="U693">
        <v>8.74</v>
      </c>
      <c r="V693">
        <v>10.24</v>
      </c>
      <c r="Y693">
        <v>0</v>
      </c>
      <c r="Z693">
        <v>56.93</v>
      </c>
      <c r="AA693">
        <v>6.17</v>
      </c>
      <c r="AB693">
        <v>12.86</v>
      </c>
    </row>
    <row r="694" spans="1:28" hidden="1" x14ac:dyDescent="0.2">
      <c r="A694" t="s">
        <v>1535</v>
      </c>
      <c r="B694" t="s">
        <v>1536</v>
      </c>
      <c r="H694">
        <v>1</v>
      </c>
      <c r="I694">
        <v>0</v>
      </c>
      <c r="K694" s="1">
        <v>43316</v>
      </c>
      <c r="L694" t="s">
        <v>113</v>
      </c>
      <c r="M694" t="s">
        <v>599</v>
      </c>
      <c r="N694" s="1">
        <v>44193</v>
      </c>
      <c r="Q694">
        <v>3.47</v>
      </c>
      <c r="R694">
        <v>-16.41</v>
      </c>
      <c r="S694">
        <v>-1.03</v>
      </c>
      <c r="T694">
        <v>6.01</v>
      </c>
      <c r="U694">
        <v>12.9</v>
      </c>
      <c r="V694">
        <v>7.62</v>
      </c>
      <c r="Y694">
        <v>3.6</v>
      </c>
      <c r="Z694">
        <v>-6.09</v>
      </c>
      <c r="AA694">
        <v>-1.32</v>
      </c>
      <c r="AB694">
        <v>-6.23</v>
      </c>
    </row>
    <row r="695" spans="1:28" hidden="1" x14ac:dyDescent="0.2">
      <c r="A695" t="s">
        <v>1537</v>
      </c>
      <c r="B695" t="s">
        <v>1538</v>
      </c>
      <c r="N695" s="1">
        <v>44193</v>
      </c>
      <c r="Q695">
        <v>6.37</v>
      </c>
      <c r="R695">
        <v>7.5</v>
      </c>
      <c r="S695">
        <v>27.77</v>
      </c>
      <c r="T695">
        <v>25.54</v>
      </c>
      <c r="U695">
        <v>7.21</v>
      </c>
      <c r="V695">
        <v>29.89</v>
      </c>
      <c r="Y695">
        <v>0</v>
      </c>
      <c r="Z695">
        <v>20.53</v>
      </c>
      <c r="AA695">
        <v>14.58</v>
      </c>
      <c r="AB695">
        <v>86.69</v>
      </c>
    </row>
    <row r="696" spans="1:28" hidden="1" x14ac:dyDescent="0.2">
      <c r="A696" s="2" t="s">
        <v>2358</v>
      </c>
      <c r="B696" t="s">
        <v>2359</v>
      </c>
      <c r="F696">
        <v>80</v>
      </c>
      <c r="G696">
        <v>4.3</v>
      </c>
      <c r="J696" t="s">
        <v>80</v>
      </c>
      <c r="N696" s="1">
        <v>44197</v>
      </c>
      <c r="O696">
        <v>-175</v>
      </c>
      <c r="P696" t="s">
        <v>2403</v>
      </c>
      <c r="Q696" t="s">
        <v>32</v>
      </c>
      <c r="R696">
        <v>104.25</v>
      </c>
      <c r="S696">
        <v>63.16</v>
      </c>
      <c r="T696">
        <v>61.5</v>
      </c>
      <c r="U696" t="s">
        <v>32</v>
      </c>
      <c r="V696" t="s">
        <v>32</v>
      </c>
      <c r="X696">
        <v>297</v>
      </c>
      <c r="Y696">
        <v>0</v>
      </c>
      <c r="Z696">
        <v>-19.25</v>
      </c>
      <c r="AA696">
        <v>-12.38</v>
      </c>
      <c r="AB696">
        <v>-75.2</v>
      </c>
    </row>
    <row r="697" spans="1:28" hidden="1" x14ac:dyDescent="0.2">
      <c r="A697" s="4" t="s">
        <v>1717</v>
      </c>
      <c r="B697" t="s">
        <v>1718</v>
      </c>
      <c r="F697">
        <v>87</v>
      </c>
      <c r="G697">
        <v>4.2</v>
      </c>
      <c r="J697" t="s">
        <v>53</v>
      </c>
      <c r="N697" s="1">
        <v>44197</v>
      </c>
      <c r="O697">
        <v>-7</v>
      </c>
      <c r="P697" t="s">
        <v>2403</v>
      </c>
      <c r="Q697" t="s">
        <v>32</v>
      </c>
      <c r="R697">
        <v>160.56</v>
      </c>
      <c r="S697" t="s">
        <v>32</v>
      </c>
      <c r="T697" t="s">
        <v>32</v>
      </c>
      <c r="U697" t="s">
        <v>32</v>
      </c>
      <c r="V697" t="s">
        <v>32</v>
      </c>
      <c r="X697">
        <v>179</v>
      </c>
      <c r="Y697">
        <v>0</v>
      </c>
      <c r="Z697">
        <v>-1.39</v>
      </c>
      <c r="AA697">
        <v>-0.53</v>
      </c>
      <c r="AB697">
        <v>-0.88</v>
      </c>
    </row>
    <row r="698" spans="1:28" hidden="1" x14ac:dyDescent="0.2">
      <c r="A698" t="s">
        <v>1458</v>
      </c>
      <c r="B698" t="s">
        <v>1459</v>
      </c>
      <c r="L698" t="s">
        <v>95</v>
      </c>
      <c r="M698" t="s">
        <v>558</v>
      </c>
      <c r="N698" s="1">
        <v>44197</v>
      </c>
      <c r="O698">
        <v>190</v>
      </c>
      <c r="P698" t="s">
        <v>2403</v>
      </c>
      <c r="Q698" t="s">
        <v>32</v>
      </c>
      <c r="R698">
        <v>181.82</v>
      </c>
      <c r="S698" t="s">
        <v>32</v>
      </c>
      <c r="T698" t="s">
        <v>32</v>
      </c>
      <c r="U698" t="s">
        <v>32</v>
      </c>
      <c r="V698" t="s">
        <v>32</v>
      </c>
      <c r="X698" t="s">
        <v>32</v>
      </c>
      <c r="Y698">
        <v>4</v>
      </c>
      <c r="Z698">
        <v>6.18</v>
      </c>
      <c r="AA698">
        <v>7.23</v>
      </c>
      <c r="AB698">
        <v>23.18</v>
      </c>
    </row>
    <row r="699" spans="1:28" hidden="1" x14ac:dyDescent="0.2">
      <c r="A699" t="s">
        <v>1545</v>
      </c>
      <c r="B699" t="s">
        <v>1546</v>
      </c>
      <c r="N699" s="1">
        <v>44193</v>
      </c>
      <c r="O699">
        <v>3258</v>
      </c>
      <c r="Q699">
        <v>2.74</v>
      </c>
      <c r="R699">
        <v>30.61</v>
      </c>
      <c r="S699">
        <v>6.48</v>
      </c>
      <c r="T699">
        <v>13.25</v>
      </c>
      <c r="U699">
        <v>9.39</v>
      </c>
      <c r="V699">
        <v>5.85</v>
      </c>
      <c r="X699">
        <v>270</v>
      </c>
      <c r="Y699">
        <v>1.3</v>
      </c>
      <c r="Z699">
        <v>131.80000000000001</v>
      </c>
      <c r="AA699">
        <v>28.91</v>
      </c>
      <c r="AB699">
        <v>115.61</v>
      </c>
    </row>
    <row r="700" spans="1:28" hidden="1" x14ac:dyDescent="0.2">
      <c r="A700" t="s">
        <v>1990</v>
      </c>
      <c r="B700" t="s">
        <v>1991</v>
      </c>
      <c r="N700" s="1">
        <v>44197</v>
      </c>
      <c r="O700">
        <v>34</v>
      </c>
      <c r="P700" t="s">
        <v>2403</v>
      </c>
      <c r="Q700" t="s">
        <v>32</v>
      </c>
      <c r="R700">
        <v>936.57</v>
      </c>
      <c r="S700">
        <v>10.76</v>
      </c>
      <c r="T700">
        <v>1.64</v>
      </c>
      <c r="U700">
        <v>26.13</v>
      </c>
      <c r="V700">
        <v>0.06</v>
      </c>
      <c r="X700">
        <v>15</v>
      </c>
      <c r="Y700">
        <v>0</v>
      </c>
      <c r="Z700">
        <v>7.36</v>
      </c>
      <c r="AA700">
        <v>14.73</v>
      </c>
      <c r="AB700">
        <v>33.090000000000003</v>
      </c>
    </row>
    <row r="701" spans="1:28" hidden="1" x14ac:dyDescent="0.2">
      <c r="A701" t="s">
        <v>1549</v>
      </c>
      <c r="B701" t="s">
        <v>1550</v>
      </c>
      <c r="H701">
        <v>1</v>
      </c>
      <c r="I701">
        <v>0</v>
      </c>
      <c r="K701" s="1">
        <v>43316</v>
      </c>
      <c r="L701" t="s">
        <v>71</v>
      </c>
      <c r="M701" t="s">
        <v>502</v>
      </c>
      <c r="N701" s="1">
        <v>44193</v>
      </c>
      <c r="Q701">
        <v>11.75</v>
      </c>
      <c r="R701">
        <v>-3</v>
      </c>
      <c r="S701">
        <v>-1.03</v>
      </c>
      <c r="T701">
        <v>7.63</v>
      </c>
      <c r="U701">
        <v>2.19</v>
      </c>
      <c r="V701">
        <v>7.04</v>
      </c>
      <c r="Y701">
        <v>0</v>
      </c>
    </row>
    <row r="702" spans="1:28" hidden="1" x14ac:dyDescent="0.2">
      <c r="A702" t="s">
        <v>1551</v>
      </c>
      <c r="B702" t="s">
        <v>1552</v>
      </c>
      <c r="H702">
        <v>1</v>
      </c>
      <c r="I702">
        <v>0</v>
      </c>
      <c r="K702" s="1">
        <v>43316</v>
      </c>
      <c r="L702" t="s">
        <v>71</v>
      </c>
      <c r="M702" t="s">
        <v>947</v>
      </c>
      <c r="N702" s="1">
        <v>44193</v>
      </c>
      <c r="Q702">
        <v>5.49</v>
      </c>
      <c r="R702">
        <v>-15.25</v>
      </c>
      <c r="S702">
        <v>4.38</v>
      </c>
      <c r="T702">
        <v>5.55</v>
      </c>
      <c r="U702">
        <v>8.7100000000000009</v>
      </c>
      <c r="V702">
        <v>8.11</v>
      </c>
      <c r="Y702">
        <v>0</v>
      </c>
      <c r="Z702">
        <v>31.59</v>
      </c>
      <c r="AA702">
        <v>2.78</v>
      </c>
      <c r="AB702">
        <v>5.34</v>
      </c>
    </row>
    <row r="703" spans="1:28" hidden="1" x14ac:dyDescent="0.2">
      <c r="A703" t="s">
        <v>1996</v>
      </c>
      <c r="B703" t="s">
        <v>1997</v>
      </c>
      <c r="N703" s="1">
        <v>44197</v>
      </c>
      <c r="O703">
        <v>-14</v>
      </c>
      <c r="P703" t="s">
        <v>2403</v>
      </c>
      <c r="Q703" t="s">
        <v>32</v>
      </c>
      <c r="R703">
        <v>14.34</v>
      </c>
      <c r="S703">
        <v>-45.37</v>
      </c>
      <c r="T703">
        <v>-34.39</v>
      </c>
      <c r="U703">
        <v>-30.08</v>
      </c>
      <c r="V703">
        <v>-18.55</v>
      </c>
      <c r="X703">
        <v>5</v>
      </c>
      <c r="Y703">
        <v>0</v>
      </c>
      <c r="Z703" t="s">
        <v>2403</v>
      </c>
      <c r="AA703" t="s">
        <v>2403</v>
      </c>
      <c r="AB703" t="s">
        <v>2403</v>
      </c>
    </row>
    <row r="704" spans="1:28" hidden="1" x14ac:dyDescent="0.2">
      <c r="A704" t="s">
        <v>1555</v>
      </c>
      <c r="B704" t="s">
        <v>1556</v>
      </c>
      <c r="F704">
        <v>68</v>
      </c>
      <c r="H704">
        <v>1</v>
      </c>
      <c r="I704">
        <v>0</v>
      </c>
      <c r="K704" s="1">
        <v>43316</v>
      </c>
      <c r="L704" t="s">
        <v>39</v>
      </c>
      <c r="M704" t="s">
        <v>60</v>
      </c>
      <c r="N704" s="1">
        <v>44193</v>
      </c>
      <c r="Q704">
        <v>1.88</v>
      </c>
      <c r="R704">
        <v>-12.05</v>
      </c>
      <c r="S704">
        <v>1.23</v>
      </c>
      <c r="T704">
        <v>11.15</v>
      </c>
      <c r="U704">
        <v>18.04</v>
      </c>
      <c r="V704">
        <v>12.51</v>
      </c>
      <c r="Y704">
        <v>1.1000000000000001</v>
      </c>
      <c r="Z704">
        <v>6.94</v>
      </c>
      <c r="AA704">
        <v>5.74</v>
      </c>
      <c r="AB704">
        <v>24.26</v>
      </c>
    </row>
    <row r="705" spans="1:28" hidden="1" x14ac:dyDescent="0.2">
      <c r="A705" t="s">
        <v>1557</v>
      </c>
      <c r="B705" t="s">
        <v>1558</v>
      </c>
      <c r="H705">
        <v>1</v>
      </c>
      <c r="I705">
        <v>0</v>
      </c>
      <c r="K705" s="1">
        <v>43316</v>
      </c>
      <c r="L705" t="s">
        <v>226</v>
      </c>
      <c r="M705" t="s">
        <v>366</v>
      </c>
      <c r="N705" s="1">
        <v>44193</v>
      </c>
      <c r="Q705">
        <v>0.82</v>
      </c>
      <c r="R705">
        <v>-45.67</v>
      </c>
      <c r="S705">
        <v>-26.71</v>
      </c>
      <c r="T705">
        <v>-15.76</v>
      </c>
      <c r="U705">
        <v>-8.27</v>
      </c>
      <c r="V705">
        <v>-0.56999999999999995</v>
      </c>
      <c r="Y705">
        <v>0</v>
      </c>
      <c r="Z705">
        <v>-36.630000000000003</v>
      </c>
      <c r="AA705">
        <v>-21.35</v>
      </c>
      <c r="AB705">
        <v>-38.159999999999997</v>
      </c>
    </row>
    <row r="706" spans="1:28" hidden="1" x14ac:dyDescent="0.2">
      <c r="A706" s="4" t="s">
        <v>1932</v>
      </c>
      <c r="B706" t="s">
        <v>1933</v>
      </c>
      <c r="F706">
        <v>97</v>
      </c>
      <c r="G706">
        <v>4.8</v>
      </c>
      <c r="N706" s="1">
        <v>44197</v>
      </c>
      <c r="O706">
        <v>-121</v>
      </c>
      <c r="P706" t="s">
        <v>2403</v>
      </c>
      <c r="Q706" t="s">
        <v>32</v>
      </c>
      <c r="R706" t="s">
        <v>32</v>
      </c>
      <c r="S706" t="s">
        <v>32</v>
      </c>
      <c r="T706" t="s">
        <v>32</v>
      </c>
      <c r="U706" t="s">
        <v>32</v>
      </c>
      <c r="V706" t="s">
        <v>32</v>
      </c>
      <c r="X706" t="s">
        <v>32</v>
      </c>
      <c r="Y706">
        <v>0</v>
      </c>
      <c r="Z706">
        <v>-124.46</v>
      </c>
      <c r="AA706">
        <v>-14.56</v>
      </c>
      <c r="AB706">
        <v>-21.28</v>
      </c>
    </row>
    <row r="707" spans="1:28" hidden="1" x14ac:dyDescent="0.2">
      <c r="A707" s="2" t="s">
        <v>631</v>
      </c>
      <c r="B707" t="s">
        <v>632</v>
      </c>
      <c r="F707">
        <v>69</v>
      </c>
      <c r="G707">
        <v>3.3</v>
      </c>
      <c r="N707" s="1">
        <v>44194</v>
      </c>
      <c r="R707">
        <v>155.91999999999999</v>
      </c>
      <c r="S707">
        <v>99.58</v>
      </c>
      <c r="T707" t="s">
        <v>32</v>
      </c>
      <c r="U707" t="s">
        <v>32</v>
      </c>
      <c r="V707" t="s">
        <v>32</v>
      </c>
      <c r="Y707">
        <v>0</v>
      </c>
      <c r="Z707">
        <v>-273.10000000000002</v>
      </c>
      <c r="AA707">
        <v>-19.16</v>
      </c>
      <c r="AB707">
        <v>-21.84</v>
      </c>
    </row>
    <row r="708" spans="1:28" hidden="1" x14ac:dyDescent="0.2">
      <c r="A708" s="4" t="s">
        <v>1883</v>
      </c>
      <c r="B708" t="s">
        <v>1884</v>
      </c>
      <c r="F708">
        <v>56</v>
      </c>
      <c r="G708">
        <v>3.6</v>
      </c>
      <c r="N708" s="1">
        <v>44197</v>
      </c>
      <c r="O708">
        <v>-177</v>
      </c>
      <c r="P708" t="s">
        <v>2403</v>
      </c>
      <c r="Q708" t="s">
        <v>32</v>
      </c>
      <c r="R708">
        <v>499.55</v>
      </c>
      <c r="S708" t="s">
        <v>32</v>
      </c>
      <c r="T708" t="s">
        <v>32</v>
      </c>
      <c r="U708" t="s">
        <v>32</v>
      </c>
      <c r="V708" t="s">
        <v>32</v>
      </c>
      <c r="X708" t="s">
        <v>32</v>
      </c>
      <c r="Y708">
        <v>0</v>
      </c>
      <c r="Z708">
        <v>-120.5</v>
      </c>
      <c r="AA708">
        <v>-64.97</v>
      </c>
      <c r="AB708">
        <v>-110.72</v>
      </c>
    </row>
    <row r="709" spans="1:28" hidden="1" x14ac:dyDescent="0.2">
      <c r="A709" t="s">
        <v>1565</v>
      </c>
      <c r="B709" t="s">
        <v>1566</v>
      </c>
      <c r="F709">
        <v>28</v>
      </c>
      <c r="G709">
        <v>3.4</v>
      </c>
      <c r="K709" s="1">
        <v>43716</v>
      </c>
      <c r="L709" t="s">
        <v>113</v>
      </c>
      <c r="M709" t="s">
        <v>356</v>
      </c>
      <c r="N709" s="1">
        <v>44193</v>
      </c>
      <c r="O709">
        <v>4066</v>
      </c>
      <c r="Q709">
        <v>3.66</v>
      </c>
      <c r="R709">
        <v>-9.0500000000000007</v>
      </c>
      <c r="S709">
        <v>9.0500000000000007</v>
      </c>
      <c r="T709">
        <v>26.24</v>
      </c>
      <c r="U709">
        <v>7.25</v>
      </c>
      <c r="V709">
        <v>3.48</v>
      </c>
      <c r="X709">
        <v>8</v>
      </c>
      <c r="Y709">
        <v>0</v>
      </c>
    </row>
    <row r="710" spans="1:28" hidden="1" x14ac:dyDescent="0.2">
      <c r="A710" t="s">
        <v>1567</v>
      </c>
      <c r="B710" t="s">
        <v>1568</v>
      </c>
      <c r="H710">
        <v>1</v>
      </c>
      <c r="I710">
        <v>0</v>
      </c>
      <c r="J710" t="s">
        <v>68</v>
      </c>
      <c r="K710" s="1">
        <v>43316</v>
      </c>
      <c r="L710" t="s">
        <v>71</v>
      </c>
      <c r="M710" t="s">
        <v>149</v>
      </c>
      <c r="N710" s="1">
        <v>44193</v>
      </c>
      <c r="Q710">
        <v>8.64</v>
      </c>
      <c r="R710">
        <v>-33.96</v>
      </c>
      <c r="S710">
        <v>-6.57</v>
      </c>
      <c r="T710">
        <v>7.58</v>
      </c>
      <c r="U710" t="s">
        <v>32</v>
      </c>
      <c r="V710" t="s">
        <v>32</v>
      </c>
      <c r="Y710">
        <v>0</v>
      </c>
      <c r="Z710">
        <v>-661.32</v>
      </c>
      <c r="AA710">
        <v>-3.68</v>
      </c>
      <c r="AB710">
        <v>-23.45</v>
      </c>
    </row>
    <row r="711" spans="1:28" hidden="1" x14ac:dyDescent="0.2">
      <c r="A711" s="2" t="s">
        <v>1521</v>
      </c>
      <c r="B711" t="s">
        <v>1522</v>
      </c>
      <c r="F711">
        <v>89</v>
      </c>
      <c r="G711">
        <v>4.4000000000000004</v>
      </c>
      <c r="H711">
        <v>1</v>
      </c>
      <c r="I711">
        <v>0</v>
      </c>
      <c r="J711" t="s">
        <v>53</v>
      </c>
      <c r="K711" s="1">
        <v>43316</v>
      </c>
      <c r="L711" t="s">
        <v>43</v>
      </c>
      <c r="M711" t="s">
        <v>47</v>
      </c>
      <c r="N711" s="1">
        <v>44197</v>
      </c>
      <c r="O711">
        <v>-4</v>
      </c>
      <c r="P711" t="s">
        <v>2403</v>
      </c>
      <c r="Q711" t="s">
        <v>32</v>
      </c>
      <c r="R711">
        <v>192.9</v>
      </c>
      <c r="S711">
        <v>74.61</v>
      </c>
      <c r="T711">
        <v>71.09</v>
      </c>
      <c r="U711">
        <v>38.08</v>
      </c>
      <c r="V711" t="s">
        <v>32</v>
      </c>
      <c r="X711">
        <v>294</v>
      </c>
      <c r="Y711">
        <v>0</v>
      </c>
      <c r="Z711">
        <v>-0.39</v>
      </c>
      <c r="AA711">
        <v>-0.25</v>
      </c>
      <c r="AB711">
        <v>-0.69</v>
      </c>
    </row>
    <row r="712" spans="1:28" hidden="1" x14ac:dyDescent="0.2">
      <c r="A712" t="s">
        <v>932</v>
      </c>
      <c r="B712" t="s">
        <v>933</v>
      </c>
      <c r="L712" t="s">
        <v>95</v>
      </c>
      <c r="M712" t="s">
        <v>511</v>
      </c>
      <c r="N712" s="1">
        <v>44197</v>
      </c>
      <c r="O712">
        <v>162</v>
      </c>
      <c r="P712" t="s">
        <v>2403</v>
      </c>
      <c r="Q712" t="s">
        <v>32</v>
      </c>
      <c r="R712">
        <v>8.25</v>
      </c>
      <c r="S712">
        <v>25.72</v>
      </c>
      <c r="T712">
        <v>24.81</v>
      </c>
      <c r="U712">
        <v>19.18</v>
      </c>
      <c r="V712">
        <v>9.4600000000000009</v>
      </c>
      <c r="X712" t="s">
        <v>32</v>
      </c>
      <c r="Y712">
        <v>1.2</v>
      </c>
      <c r="Z712">
        <v>1.94</v>
      </c>
      <c r="AA712">
        <v>4.1500000000000004</v>
      </c>
      <c r="AB712">
        <v>13.71</v>
      </c>
    </row>
    <row r="713" spans="1:28" hidden="1" x14ac:dyDescent="0.2">
      <c r="A713" t="s">
        <v>1574</v>
      </c>
      <c r="B713" t="s">
        <v>1575</v>
      </c>
      <c r="F713">
        <v>59</v>
      </c>
      <c r="G713">
        <v>3.9</v>
      </c>
      <c r="H713">
        <v>0</v>
      </c>
      <c r="I713">
        <v>0</v>
      </c>
      <c r="J713" t="s">
        <v>53</v>
      </c>
      <c r="K713" s="1">
        <v>43716</v>
      </c>
      <c r="L713" t="s">
        <v>99</v>
      </c>
      <c r="M713" t="s">
        <v>457</v>
      </c>
      <c r="N713" s="1">
        <v>44193</v>
      </c>
      <c r="Q713">
        <v>2.4900000000000002</v>
      </c>
      <c r="R713">
        <v>7.09</v>
      </c>
      <c r="S713">
        <v>12.79</v>
      </c>
      <c r="T713">
        <v>11.18</v>
      </c>
      <c r="U713">
        <v>8.77</v>
      </c>
      <c r="V713">
        <v>11.02</v>
      </c>
      <c r="Y713">
        <v>4.8</v>
      </c>
      <c r="Z713">
        <v>15.27</v>
      </c>
      <c r="AA713">
        <v>10.74</v>
      </c>
      <c r="AB713">
        <v>28.67</v>
      </c>
    </row>
    <row r="714" spans="1:28" hidden="1" x14ac:dyDescent="0.2">
      <c r="A714" t="s">
        <v>1576</v>
      </c>
      <c r="B714" t="s">
        <v>1577</v>
      </c>
      <c r="H714">
        <v>1</v>
      </c>
      <c r="I714">
        <v>0</v>
      </c>
      <c r="K714" s="1">
        <v>43316</v>
      </c>
      <c r="L714" t="s">
        <v>95</v>
      </c>
      <c r="M714" t="s">
        <v>1578</v>
      </c>
      <c r="N714" s="1">
        <v>44193</v>
      </c>
      <c r="O714">
        <v>687</v>
      </c>
      <c r="Q714">
        <v>3.6</v>
      </c>
      <c r="R714">
        <v>7.73</v>
      </c>
      <c r="S714">
        <v>7.88</v>
      </c>
      <c r="T714">
        <v>22.18</v>
      </c>
      <c r="U714">
        <v>3.03</v>
      </c>
      <c r="V714">
        <v>6.67</v>
      </c>
      <c r="X714">
        <v>868</v>
      </c>
      <c r="Y714">
        <v>1.6</v>
      </c>
      <c r="Z714">
        <v>12.44</v>
      </c>
      <c r="AA714">
        <v>8.65</v>
      </c>
      <c r="AB714">
        <v>151.66</v>
      </c>
    </row>
    <row r="715" spans="1:28" hidden="1" x14ac:dyDescent="0.2">
      <c r="A715" t="s">
        <v>1579</v>
      </c>
      <c r="B715" t="s">
        <v>1580</v>
      </c>
      <c r="H715">
        <v>1</v>
      </c>
      <c r="I715">
        <v>0</v>
      </c>
      <c r="J715" t="s">
        <v>53</v>
      </c>
      <c r="K715" s="1">
        <v>43316</v>
      </c>
      <c r="L715" t="s">
        <v>95</v>
      </c>
      <c r="M715" t="s">
        <v>232</v>
      </c>
      <c r="N715" s="1">
        <v>44193</v>
      </c>
      <c r="O715">
        <v>14141</v>
      </c>
      <c r="Q715">
        <v>1.73</v>
      </c>
      <c r="R715">
        <v>55.53</v>
      </c>
      <c r="S715">
        <v>9.4499999999999993</v>
      </c>
      <c r="T715">
        <v>21.46</v>
      </c>
      <c r="U715">
        <v>29.85</v>
      </c>
      <c r="V715">
        <v>26.53</v>
      </c>
      <c r="X715">
        <v>9607</v>
      </c>
      <c r="Y715">
        <v>2.1</v>
      </c>
      <c r="Z715">
        <v>20.309999999999999</v>
      </c>
      <c r="AA715">
        <v>11.29</v>
      </c>
      <c r="AB715">
        <v>19.03</v>
      </c>
    </row>
    <row r="716" spans="1:28" hidden="1" x14ac:dyDescent="0.2">
      <c r="A716" t="s">
        <v>1581</v>
      </c>
      <c r="B716" t="s">
        <v>1582</v>
      </c>
      <c r="H716">
        <v>1</v>
      </c>
      <c r="I716">
        <v>0</v>
      </c>
      <c r="K716" s="1">
        <v>43316</v>
      </c>
      <c r="L716" t="s">
        <v>35</v>
      </c>
      <c r="M716" t="s">
        <v>50</v>
      </c>
      <c r="N716" s="1">
        <v>44193</v>
      </c>
      <c r="Q716">
        <v>3.01</v>
      </c>
      <c r="R716">
        <v>-11.55</v>
      </c>
      <c r="S716">
        <v>-0.02</v>
      </c>
      <c r="T716">
        <v>6.93</v>
      </c>
      <c r="U716">
        <v>6.95</v>
      </c>
      <c r="V716">
        <v>5.15</v>
      </c>
      <c r="Y716">
        <v>2.5</v>
      </c>
      <c r="Z716">
        <v>23.62</v>
      </c>
      <c r="AA716">
        <v>0.92</v>
      </c>
      <c r="AB716">
        <v>12.29</v>
      </c>
    </row>
    <row r="717" spans="1:28" hidden="1" x14ac:dyDescent="0.2">
      <c r="A717" t="s">
        <v>1583</v>
      </c>
      <c r="B717" t="s">
        <v>1584</v>
      </c>
      <c r="L717" t="s">
        <v>30</v>
      </c>
      <c r="M717" t="s">
        <v>1573</v>
      </c>
      <c r="N717" s="1">
        <v>44193</v>
      </c>
      <c r="Q717">
        <v>3</v>
      </c>
      <c r="R717">
        <v>-4.6100000000000003</v>
      </c>
      <c r="S717">
        <v>-3.97</v>
      </c>
      <c r="T717">
        <v>7.94</v>
      </c>
      <c r="U717">
        <v>4.24</v>
      </c>
      <c r="V717">
        <v>5.68</v>
      </c>
      <c r="Y717">
        <v>0</v>
      </c>
      <c r="Z717">
        <v>2.14</v>
      </c>
      <c r="AA717">
        <v>2.25</v>
      </c>
      <c r="AB717">
        <v>4.12</v>
      </c>
    </row>
    <row r="718" spans="1:28" hidden="1" x14ac:dyDescent="0.2">
      <c r="A718" t="s">
        <v>2018</v>
      </c>
      <c r="B718" t="s">
        <v>2019</v>
      </c>
      <c r="N718" s="1">
        <v>44197</v>
      </c>
      <c r="O718">
        <v>-273</v>
      </c>
      <c r="P718" t="s">
        <v>2403</v>
      </c>
      <c r="Q718" t="s">
        <v>32</v>
      </c>
      <c r="R718">
        <v>2701.76</v>
      </c>
      <c r="S718">
        <v>65.05</v>
      </c>
      <c r="T718">
        <v>-7.85</v>
      </c>
      <c r="U718">
        <v>8.66</v>
      </c>
      <c r="V718">
        <v>2.5</v>
      </c>
      <c r="X718">
        <v>375</v>
      </c>
      <c r="Y718">
        <v>0</v>
      </c>
      <c r="Z718" t="s">
        <v>2403</v>
      </c>
      <c r="AA718" t="s">
        <v>2403</v>
      </c>
      <c r="AB718" t="s">
        <v>2403</v>
      </c>
    </row>
    <row r="719" spans="1:28" hidden="1" x14ac:dyDescent="0.2">
      <c r="A719" s="4" t="s">
        <v>1628</v>
      </c>
      <c r="B719" t="s">
        <v>1629</v>
      </c>
      <c r="F719">
        <v>81</v>
      </c>
      <c r="G719">
        <v>3.7</v>
      </c>
      <c r="N719" s="1">
        <v>44197</v>
      </c>
      <c r="O719">
        <v>-197</v>
      </c>
      <c r="P719" t="s">
        <v>2403</v>
      </c>
      <c r="Q719" t="s">
        <v>32</v>
      </c>
      <c r="R719" t="s">
        <v>32</v>
      </c>
      <c r="S719" t="s">
        <v>32</v>
      </c>
      <c r="T719" t="s">
        <v>32</v>
      </c>
      <c r="U719" t="s">
        <v>32</v>
      </c>
      <c r="V719" t="s">
        <v>32</v>
      </c>
      <c r="X719">
        <v>73</v>
      </c>
      <c r="Y719">
        <v>0</v>
      </c>
      <c r="Z719">
        <v>-85.51</v>
      </c>
      <c r="AA719">
        <v>-13.9</v>
      </c>
      <c r="AB719">
        <v>-15.42</v>
      </c>
    </row>
    <row r="720" spans="1:28" hidden="1" x14ac:dyDescent="0.2">
      <c r="A720" t="s">
        <v>2026</v>
      </c>
      <c r="B720" t="s">
        <v>2027</v>
      </c>
      <c r="N720" s="1">
        <v>44197</v>
      </c>
      <c r="O720">
        <v>-7</v>
      </c>
      <c r="P720" t="s">
        <v>2403</v>
      </c>
      <c r="Q720" t="s">
        <v>32</v>
      </c>
      <c r="R720">
        <v>-18.71</v>
      </c>
      <c r="S720">
        <v>3.59</v>
      </c>
      <c r="T720">
        <v>-4.3099999999999996</v>
      </c>
      <c r="U720">
        <v>7.46</v>
      </c>
      <c r="V720" t="s">
        <v>32</v>
      </c>
      <c r="X720" t="s">
        <v>32</v>
      </c>
      <c r="Y720">
        <v>0</v>
      </c>
      <c r="Z720">
        <v>-2.06</v>
      </c>
      <c r="AA720">
        <v>-0.36</v>
      </c>
      <c r="AB720">
        <v>-0.7</v>
      </c>
    </row>
    <row r="721" spans="1:28" hidden="1" x14ac:dyDescent="0.2">
      <c r="A721" t="s">
        <v>1260</v>
      </c>
      <c r="B721" t="s">
        <v>1260</v>
      </c>
      <c r="L721" t="s">
        <v>43</v>
      </c>
      <c r="M721" t="s">
        <v>713</v>
      </c>
      <c r="N721" s="1">
        <v>44197</v>
      </c>
      <c r="O721">
        <v>852</v>
      </c>
      <c r="P721" t="s">
        <v>2403</v>
      </c>
      <c r="Q721" t="s">
        <v>32</v>
      </c>
      <c r="R721">
        <v>7.13</v>
      </c>
      <c r="S721">
        <v>5.16</v>
      </c>
      <c r="T721">
        <v>19.95</v>
      </c>
      <c r="U721">
        <v>19.43</v>
      </c>
      <c r="V721">
        <v>12.45</v>
      </c>
      <c r="X721" t="s">
        <v>32</v>
      </c>
      <c r="Y721">
        <v>0</v>
      </c>
      <c r="Z721">
        <v>11.85</v>
      </c>
      <c r="AA721">
        <v>18.25</v>
      </c>
      <c r="AB721">
        <v>32.22</v>
      </c>
    </row>
    <row r="722" spans="1:28" hidden="1" x14ac:dyDescent="0.2">
      <c r="A722" t="s">
        <v>1595</v>
      </c>
      <c r="B722" t="s">
        <v>1596</v>
      </c>
      <c r="N722" s="1">
        <v>44193</v>
      </c>
      <c r="O722">
        <v>7103</v>
      </c>
      <c r="Q722">
        <v>3.4</v>
      </c>
      <c r="R722">
        <v>-3.36</v>
      </c>
      <c r="S722">
        <v>9.51</v>
      </c>
      <c r="T722">
        <v>5.75</v>
      </c>
      <c r="U722">
        <v>8.01</v>
      </c>
      <c r="V722">
        <v>6.56</v>
      </c>
      <c r="X722">
        <v>9500</v>
      </c>
      <c r="Y722">
        <v>2.7</v>
      </c>
      <c r="Z722">
        <v>14.33</v>
      </c>
      <c r="AA722">
        <v>5.78</v>
      </c>
      <c r="AB722">
        <v>13.28</v>
      </c>
    </row>
    <row r="723" spans="1:28" hidden="1" x14ac:dyDescent="0.2">
      <c r="A723" t="s">
        <v>1597</v>
      </c>
      <c r="B723" t="s">
        <v>1598</v>
      </c>
      <c r="L723" t="s">
        <v>99</v>
      </c>
      <c r="M723" t="s">
        <v>561</v>
      </c>
      <c r="N723" s="1">
        <v>44193</v>
      </c>
      <c r="Q723">
        <v>4.33</v>
      </c>
      <c r="R723">
        <v>14.18</v>
      </c>
      <c r="S723">
        <v>-7.87</v>
      </c>
      <c r="T723">
        <v>-10.09</v>
      </c>
      <c r="U723">
        <v>4.54</v>
      </c>
      <c r="V723">
        <v>1.79</v>
      </c>
      <c r="Z723">
        <v>-1.1100000000000001</v>
      </c>
      <c r="AA723">
        <v>-0.67</v>
      </c>
      <c r="AB723">
        <v>-2.63</v>
      </c>
    </row>
    <row r="724" spans="1:28" hidden="1" x14ac:dyDescent="0.2">
      <c r="A724" t="s">
        <v>1599</v>
      </c>
      <c r="B724" t="s">
        <v>1600</v>
      </c>
      <c r="L724" t="s">
        <v>43</v>
      </c>
      <c r="M724" t="s">
        <v>192</v>
      </c>
      <c r="N724" s="1">
        <v>44193</v>
      </c>
      <c r="Q724">
        <v>1.1200000000000001</v>
      </c>
      <c r="R724">
        <v>25.12</v>
      </c>
      <c r="S724">
        <v>2.85</v>
      </c>
      <c r="T724">
        <v>5.59</v>
      </c>
      <c r="U724" t="s">
        <v>32</v>
      </c>
      <c r="V724" t="s">
        <v>32</v>
      </c>
      <c r="Y724">
        <v>2.5</v>
      </c>
      <c r="Z724">
        <v>-11.47</v>
      </c>
      <c r="AA724">
        <v>-6.58</v>
      </c>
      <c r="AB724">
        <v>-12.33</v>
      </c>
    </row>
    <row r="725" spans="1:28" hidden="1" x14ac:dyDescent="0.2">
      <c r="A725" t="s">
        <v>1601</v>
      </c>
      <c r="B725" t="s">
        <v>1602</v>
      </c>
      <c r="F725">
        <v>51</v>
      </c>
      <c r="H725">
        <v>0</v>
      </c>
      <c r="I725">
        <v>0</v>
      </c>
      <c r="K725" s="1">
        <v>43316</v>
      </c>
      <c r="L725" t="s">
        <v>43</v>
      </c>
      <c r="M725" t="s">
        <v>192</v>
      </c>
      <c r="N725" s="1">
        <v>44193</v>
      </c>
      <c r="Q725">
        <v>1.1299999999999999</v>
      </c>
      <c r="R725">
        <v>28.9</v>
      </c>
      <c r="S725">
        <v>3.91</v>
      </c>
      <c r="T725">
        <v>6.68</v>
      </c>
      <c r="U725" t="s">
        <v>32</v>
      </c>
      <c r="V725" t="s">
        <v>32</v>
      </c>
      <c r="Y725">
        <v>2.5</v>
      </c>
      <c r="Z725">
        <v>-11.47</v>
      </c>
      <c r="AA725">
        <v>-6.58</v>
      </c>
      <c r="AB725">
        <v>-12.33</v>
      </c>
    </row>
    <row r="726" spans="1:28" hidden="1" x14ac:dyDescent="0.2">
      <c r="A726" t="s">
        <v>1667</v>
      </c>
      <c r="B726" t="s">
        <v>1668</v>
      </c>
      <c r="N726" s="1">
        <v>44197</v>
      </c>
      <c r="O726">
        <v>-47</v>
      </c>
      <c r="P726" t="s">
        <v>2403</v>
      </c>
      <c r="Q726" t="s">
        <v>32</v>
      </c>
      <c r="R726">
        <v>225.91</v>
      </c>
      <c r="S726">
        <v>74.42</v>
      </c>
      <c r="T726">
        <v>71.88</v>
      </c>
      <c r="U726">
        <v>31.62</v>
      </c>
      <c r="V726">
        <v>12.17</v>
      </c>
      <c r="X726">
        <v>34</v>
      </c>
      <c r="Y726">
        <v>0</v>
      </c>
      <c r="Z726">
        <v>-39.92</v>
      </c>
      <c r="AA726">
        <v>-10.32</v>
      </c>
      <c r="AB726">
        <v>-12.48</v>
      </c>
    </row>
    <row r="727" spans="1:28" hidden="1" x14ac:dyDescent="0.2">
      <c r="A727" t="s">
        <v>1606</v>
      </c>
      <c r="B727" t="s">
        <v>1607</v>
      </c>
      <c r="F727">
        <v>57</v>
      </c>
      <c r="H727">
        <v>1</v>
      </c>
      <c r="I727">
        <v>0</v>
      </c>
      <c r="J727" t="s">
        <v>68</v>
      </c>
      <c r="K727" s="1">
        <v>43316</v>
      </c>
      <c r="L727" t="s">
        <v>95</v>
      </c>
      <c r="M727" t="s">
        <v>96</v>
      </c>
      <c r="N727" s="1">
        <v>44193</v>
      </c>
      <c r="Q727">
        <v>0.95</v>
      </c>
      <c r="R727">
        <v>22.93</v>
      </c>
      <c r="S727">
        <v>11.23</v>
      </c>
      <c r="T727">
        <v>13.19</v>
      </c>
      <c r="U727">
        <v>23.1</v>
      </c>
      <c r="V727" t="s">
        <v>32</v>
      </c>
      <c r="Y727">
        <v>1.7</v>
      </c>
      <c r="Z727">
        <v>-1.7</v>
      </c>
      <c r="AA727">
        <v>-0.67</v>
      </c>
      <c r="AB727">
        <v>-1.57</v>
      </c>
    </row>
    <row r="728" spans="1:28" hidden="1" x14ac:dyDescent="0.2">
      <c r="A728" t="s">
        <v>2163</v>
      </c>
      <c r="B728" t="s">
        <v>2164</v>
      </c>
      <c r="N728" s="1">
        <v>44197</v>
      </c>
      <c r="O728">
        <v>175</v>
      </c>
      <c r="P728" t="s">
        <v>2403</v>
      </c>
      <c r="Q728" t="s">
        <v>32</v>
      </c>
      <c r="R728">
        <v>235.6</v>
      </c>
      <c r="S728">
        <v>104.07</v>
      </c>
      <c r="T728">
        <v>62.49</v>
      </c>
      <c r="U728" t="s">
        <v>32</v>
      </c>
      <c r="V728" t="s">
        <v>32</v>
      </c>
      <c r="X728">
        <v>151</v>
      </c>
      <c r="Y728">
        <v>2</v>
      </c>
      <c r="Z728">
        <v>11.55</v>
      </c>
      <c r="AA728">
        <v>9.6999999999999993</v>
      </c>
      <c r="AB728">
        <v>19.89</v>
      </c>
    </row>
    <row r="729" spans="1:28" hidden="1" x14ac:dyDescent="0.2">
      <c r="A729" t="s">
        <v>1610</v>
      </c>
      <c r="B729" t="s">
        <v>1611</v>
      </c>
      <c r="H729">
        <v>1</v>
      </c>
      <c r="I729">
        <v>0</v>
      </c>
      <c r="K729" s="1">
        <v>43316</v>
      </c>
      <c r="L729" t="s">
        <v>71</v>
      </c>
      <c r="M729" t="s">
        <v>149</v>
      </c>
      <c r="N729" s="1">
        <v>44193</v>
      </c>
      <c r="Q729">
        <v>9.25</v>
      </c>
      <c r="R729">
        <v>-37.9</v>
      </c>
      <c r="S729">
        <v>-4.21</v>
      </c>
      <c r="T729">
        <v>5.18</v>
      </c>
      <c r="U729">
        <v>6.52</v>
      </c>
      <c r="V729">
        <v>-7.12</v>
      </c>
      <c r="Y729">
        <v>0</v>
      </c>
    </row>
    <row r="730" spans="1:28" hidden="1" x14ac:dyDescent="0.2">
      <c r="A730" t="s">
        <v>1612</v>
      </c>
      <c r="B730" t="s">
        <v>1613</v>
      </c>
      <c r="F730">
        <v>88</v>
      </c>
      <c r="H730">
        <v>1</v>
      </c>
      <c r="I730">
        <v>0</v>
      </c>
      <c r="K730" s="1">
        <v>43316</v>
      </c>
      <c r="L730" t="s">
        <v>71</v>
      </c>
      <c r="M730" t="s">
        <v>947</v>
      </c>
      <c r="N730" s="1">
        <v>44193</v>
      </c>
      <c r="Q730">
        <v>4.66</v>
      </c>
      <c r="R730">
        <v>-11.71</v>
      </c>
      <c r="S730">
        <v>7.3</v>
      </c>
      <c r="T730">
        <v>7.58</v>
      </c>
      <c r="U730">
        <v>9.4</v>
      </c>
      <c r="V730">
        <v>9.93</v>
      </c>
      <c r="Y730">
        <v>10.3</v>
      </c>
      <c r="Z730">
        <v>24.94</v>
      </c>
      <c r="AA730">
        <v>2.2000000000000002</v>
      </c>
      <c r="AB730">
        <v>4.12</v>
      </c>
    </row>
    <row r="731" spans="1:28" hidden="1" x14ac:dyDescent="0.2">
      <c r="A731" s="4" t="s">
        <v>1705</v>
      </c>
      <c r="B731" t="s">
        <v>1706</v>
      </c>
      <c r="F731">
        <v>62</v>
      </c>
      <c r="G731">
        <v>4</v>
      </c>
      <c r="J731" t="s">
        <v>1029</v>
      </c>
      <c r="N731" s="1">
        <v>44197</v>
      </c>
      <c r="O731">
        <v>-283</v>
      </c>
      <c r="P731" t="s">
        <v>2403</v>
      </c>
      <c r="Q731" t="s">
        <v>32</v>
      </c>
      <c r="R731" t="s">
        <v>32</v>
      </c>
      <c r="S731" t="s">
        <v>32</v>
      </c>
      <c r="T731" t="s">
        <v>32</v>
      </c>
      <c r="U731" t="s">
        <v>32</v>
      </c>
      <c r="V731" t="s">
        <v>32</v>
      </c>
      <c r="X731">
        <v>146</v>
      </c>
      <c r="Y731">
        <v>0</v>
      </c>
      <c r="Z731" t="s">
        <v>2403</v>
      </c>
      <c r="AA731" t="s">
        <v>2403</v>
      </c>
      <c r="AB731" t="s">
        <v>2403</v>
      </c>
    </row>
    <row r="732" spans="1:28" hidden="1" x14ac:dyDescent="0.2">
      <c r="A732" t="s">
        <v>2039</v>
      </c>
      <c r="B732" t="s">
        <v>2040</v>
      </c>
      <c r="N732" s="1">
        <v>44197</v>
      </c>
      <c r="O732">
        <v>-85</v>
      </c>
      <c r="P732" t="s">
        <v>2403</v>
      </c>
      <c r="Q732" t="s">
        <v>32</v>
      </c>
      <c r="R732">
        <v>-45.55</v>
      </c>
      <c r="S732">
        <v>-40.270000000000003</v>
      </c>
      <c r="T732" t="s">
        <v>32</v>
      </c>
      <c r="U732" t="s">
        <v>32</v>
      </c>
      <c r="V732" t="s">
        <v>32</v>
      </c>
      <c r="X732">
        <v>70</v>
      </c>
      <c r="Y732">
        <v>0</v>
      </c>
      <c r="Z732" t="s">
        <v>2403</v>
      </c>
      <c r="AA732" t="s">
        <v>2403</v>
      </c>
      <c r="AB732" t="s">
        <v>2403</v>
      </c>
    </row>
    <row r="733" spans="1:28" hidden="1" x14ac:dyDescent="0.2">
      <c r="A733" t="s">
        <v>1618</v>
      </c>
      <c r="B733" t="s">
        <v>1619</v>
      </c>
      <c r="F733">
        <v>68</v>
      </c>
      <c r="H733">
        <v>1</v>
      </c>
      <c r="I733">
        <v>0</v>
      </c>
      <c r="K733" s="1">
        <v>43316</v>
      </c>
      <c r="L733" t="s">
        <v>30</v>
      </c>
      <c r="M733" t="s">
        <v>361</v>
      </c>
      <c r="N733" s="1">
        <v>44193</v>
      </c>
      <c r="Q733">
        <v>1.32</v>
      </c>
      <c r="R733">
        <v>21.61</v>
      </c>
      <c r="S733">
        <v>-3.93</v>
      </c>
      <c r="T733">
        <v>11.83</v>
      </c>
      <c r="U733">
        <v>10.26</v>
      </c>
      <c r="V733" t="s">
        <v>32</v>
      </c>
      <c r="Y733">
        <v>0</v>
      </c>
      <c r="Z733">
        <v>-7.94</v>
      </c>
      <c r="AA733">
        <v>-5.6</v>
      </c>
      <c r="AB733">
        <v>-13.01</v>
      </c>
    </row>
    <row r="734" spans="1:28" hidden="1" x14ac:dyDescent="0.2">
      <c r="A734" t="s">
        <v>1620</v>
      </c>
      <c r="B734" t="s">
        <v>1621</v>
      </c>
      <c r="H734">
        <v>1</v>
      </c>
      <c r="I734">
        <v>0</v>
      </c>
      <c r="J734" t="s">
        <v>68</v>
      </c>
      <c r="K734" s="1">
        <v>43316</v>
      </c>
      <c r="L734" t="s">
        <v>30</v>
      </c>
      <c r="M734" t="s">
        <v>248</v>
      </c>
    </row>
    <row r="735" spans="1:28" hidden="1" x14ac:dyDescent="0.2">
      <c r="A735" t="s">
        <v>1622</v>
      </c>
      <c r="B735" t="s">
        <v>1623</v>
      </c>
      <c r="H735">
        <v>0</v>
      </c>
      <c r="I735">
        <v>0</v>
      </c>
      <c r="K735" s="1">
        <v>43316</v>
      </c>
      <c r="L735" t="s">
        <v>43</v>
      </c>
      <c r="M735" t="s">
        <v>47</v>
      </c>
      <c r="N735" s="1">
        <v>44193</v>
      </c>
      <c r="Q735">
        <v>1.74</v>
      </c>
      <c r="R735">
        <v>13.25</v>
      </c>
      <c r="S735">
        <v>-3.53</v>
      </c>
      <c r="T735">
        <v>-10.38</v>
      </c>
      <c r="U735">
        <v>-5.07</v>
      </c>
      <c r="V735">
        <v>-14.08</v>
      </c>
      <c r="Y735">
        <v>0</v>
      </c>
      <c r="Z735">
        <v>-2.84</v>
      </c>
      <c r="AA735">
        <v>-4.3099999999999996</v>
      </c>
      <c r="AB735">
        <v>-14.38</v>
      </c>
    </row>
    <row r="736" spans="1:28" hidden="1" x14ac:dyDescent="0.2">
      <c r="A736" t="s">
        <v>1624</v>
      </c>
      <c r="B736" t="s">
        <v>1625</v>
      </c>
      <c r="L736" t="s">
        <v>43</v>
      </c>
      <c r="M736" t="s">
        <v>405</v>
      </c>
      <c r="N736" s="1">
        <v>44193</v>
      </c>
      <c r="O736">
        <v>308</v>
      </c>
      <c r="Q736">
        <v>0.88</v>
      </c>
      <c r="R736">
        <v>-1.95</v>
      </c>
      <c r="S736">
        <v>-19.170000000000002</v>
      </c>
      <c r="T736">
        <v>-7.83</v>
      </c>
      <c r="U736">
        <v>-9.1</v>
      </c>
      <c r="V736">
        <v>-3.6</v>
      </c>
      <c r="X736">
        <v>63</v>
      </c>
      <c r="Y736">
        <v>1.4</v>
      </c>
      <c r="Z736">
        <v>4.95</v>
      </c>
      <c r="AA736">
        <v>3.39</v>
      </c>
      <c r="AB736">
        <v>122.71</v>
      </c>
    </row>
    <row r="737" spans="1:28" hidden="1" x14ac:dyDescent="0.2">
      <c r="A737" t="s">
        <v>1626</v>
      </c>
      <c r="B737" t="s">
        <v>1627</v>
      </c>
      <c r="F737">
        <v>66</v>
      </c>
      <c r="G737">
        <v>3.6</v>
      </c>
      <c r="H737">
        <v>1</v>
      </c>
      <c r="I737">
        <v>0</v>
      </c>
      <c r="K737" s="1">
        <v>43716</v>
      </c>
      <c r="L737" t="s">
        <v>226</v>
      </c>
      <c r="M737" t="s">
        <v>386</v>
      </c>
      <c r="N737" s="1">
        <v>44193</v>
      </c>
      <c r="R737">
        <v>-43.73</v>
      </c>
      <c r="S737">
        <v>-2.5</v>
      </c>
      <c r="T737">
        <v>17.71</v>
      </c>
      <c r="U737">
        <v>10.23</v>
      </c>
      <c r="V737">
        <v>12.25</v>
      </c>
      <c r="Y737">
        <v>2.5</v>
      </c>
      <c r="Z737">
        <v>7.23</v>
      </c>
      <c r="AA737">
        <v>2.83</v>
      </c>
      <c r="AB737">
        <v>10.09</v>
      </c>
    </row>
    <row r="738" spans="1:28" hidden="1" x14ac:dyDescent="0.2">
      <c r="A738" t="s">
        <v>1715</v>
      </c>
      <c r="B738" t="s">
        <v>1716</v>
      </c>
      <c r="H738">
        <v>1</v>
      </c>
      <c r="I738">
        <v>0</v>
      </c>
      <c r="L738" t="s">
        <v>95</v>
      </c>
      <c r="M738" t="s">
        <v>232</v>
      </c>
      <c r="N738" s="1">
        <v>44193</v>
      </c>
      <c r="R738">
        <v>284.42</v>
      </c>
      <c r="S738" t="s">
        <v>32</v>
      </c>
      <c r="T738" t="s">
        <v>32</v>
      </c>
      <c r="U738" t="s">
        <v>32</v>
      </c>
      <c r="V738" t="s">
        <v>32</v>
      </c>
      <c r="Y738">
        <v>0</v>
      </c>
      <c r="Z738">
        <v>-26.81</v>
      </c>
      <c r="AA738">
        <v>-16.23</v>
      </c>
      <c r="AB738">
        <v>-19.12</v>
      </c>
    </row>
    <row r="739" spans="1:28" hidden="1" x14ac:dyDescent="0.2">
      <c r="A739" t="s">
        <v>1424</v>
      </c>
      <c r="B739" t="s">
        <v>1425</v>
      </c>
      <c r="L739" t="s">
        <v>95</v>
      </c>
      <c r="M739" t="s">
        <v>558</v>
      </c>
      <c r="N739" s="1">
        <v>44197</v>
      </c>
      <c r="O739">
        <v>-102</v>
      </c>
      <c r="P739" t="s">
        <v>2403</v>
      </c>
      <c r="Q739" t="s">
        <v>32</v>
      </c>
      <c r="R739">
        <v>324.74</v>
      </c>
      <c r="S739" t="s">
        <v>32</v>
      </c>
      <c r="T739" t="s">
        <v>32</v>
      </c>
      <c r="U739" t="s">
        <v>32</v>
      </c>
      <c r="V739" t="s">
        <v>32</v>
      </c>
      <c r="X739">
        <v>187</v>
      </c>
      <c r="Y739">
        <v>28.2</v>
      </c>
      <c r="Z739">
        <v>-13.4</v>
      </c>
      <c r="AA739">
        <v>-6.79</v>
      </c>
      <c r="AB739">
        <v>-13.33</v>
      </c>
    </row>
    <row r="740" spans="1:28" hidden="1" x14ac:dyDescent="0.2">
      <c r="A740" s="4" t="s">
        <v>2206</v>
      </c>
      <c r="B740" t="s">
        <v>2207</v>
      </c>
      <c r="F740">
        <v>90</v>
      </c>
      <c r="G740">
        <v>4.3</v>
      </c>
      <c r="N740" s="1">
        <v>44197</v>
      </c>
      <c r="O740">
        <v>-423</v>
      </c>
      <c r="P740" t="s">
        <v>2403</v>
      </c>
      <c r="Q740" t="s">
        <v>2403</v>
      </c>
      <c r="R740" t="s">
        <v>32</v>
      </c>
      <c r="S740" t="s">
        <v>32</v>
      </c>
      <c r="T740" t="s">
        <v>32</v>
      </c>
      <c r="U740" t="s">
        <v>32</v>
      </c>
      <c r="V740" t="s">
        <v>32</v>
      </c>
      <c r="X740">
        <v>174</v>
      </c>
      <c r="Y740">
        <v>0</v>
      </c>
      <c r="Z740">
        <v>-86.54</v>
      </c>
      <c r="AA740">
        <v>-7.41</v>
      </c>
      <c r="AB740">
        <v>-8.52</v>
      </c>
    </row>
    <row r="741" spans="1:28" hidden="1" x14ac:dyDescent="0.2">
      <c r="A741" t="s">
        <v>1634</v>
      </c>
      <c r="B741" t="s">
        <v>1635</v>
      </c>
      <c r="L741" t="s">
        <v>30</v>
      </c>
      <c r="M741" t="s">
        <v>164</v>
      </c>
      <c r="N741" s="1">
        <v>44193</v>
      </c>
      <c r="Q741">
        <v>3.65</v>
      </c>
      <c r="R741">
        <v>51.56</v>
      </c>
      <c r="S741">
        <v>-6.42</v>
      </c>
      <c r="T741">
        <v>10.08</v>
      </c>
      <c r="U741">
        <v>4.95</v>
      </c>
      <c r="V741">
        <v>4.46</v>
      </c>
      <c r="Y741">
        <v>0</v>
      </c>
      <c r="Z741">
        <v>-18.47</v>
      </c>
      <c r="AA741">
        <v>-11.59</v>
      </c>
      <c r="AB741">
        <v>-49.06</v>
      </c>
    </row>
    <row r="742" spans="1:28" hidden="1" x14ac:dyDescent="0.2">
      <c r="A742" t="s">
        <v>1636</v>
      </c>
      <c r="B742" t="s">
        <v>1637</v>
      </c>
      <c r="F742">
        <v>59</v>
      </c>
      <c r="H742">
        <v>1</v>
      </c>
      <c r="I742">
        <v>0</v>
      </c>
      <c r="K742" s="1">
        <v>43316</v>
      </c>
      <c r="L742" t="s">
        <v>43</v>
      </c>
      <c r="M742" t="s">
        <v>44</v>
      </c>
      <c r="N742" s="1">
        <v>44193</v>
      </c>
      <c r="Q742">
        <v>4.13</v>
      </c>
      <c r="R742">
        <v>-20.95</v>
      </c>
      <c r="S742">
        <v>-2.1800000000000002</v>
      </c>
      <c r="T742">
        <v>-0.74</v>
      </c>
      <c r="U742">
        <v>5.75</v>
      </c>
      <c r="V742">
        <v>4.5199999999999996</v>
      </c>
      <c r="Y742">
        <v>5.5</v>
      </c>
      <c r="Z742">
        <v>7.1</v>
      </c>
      <c r="AA742">
        <v>4.0599999999999996</v>
      </c>
      <c r="AB742">
        <v>37.72</v>
      </c>
    </row>
    <row r="743" spans="1:28" hidden="1" x14ac:dyDescent="0.2">
      <c r="A743" t="s">
        <v>1638</v>
      </c>
      <c r="B743" t="s">
        <v>1639</v>
      </c>
      <c r="J743" t="s">
        <v>68</v>
      </c>
      <c r="L743" t="s">
        <v>95</v>
      </c>
      <c r="M743" t="s">
        <v>96</v>
      </c>
    </row>
    <row r="744" spans="1:28" hidden="1" x14ac:dyDescent="0.2">
      <c r="A744" t="s">
        <v>2043</v>
      </c>
      <c r="B744" t="s">
        <v>2044</v>
      </c>
      <c r="N744" s="1">
        <v>44197</v>
      </c>
      <c r="O744">
        <v>-114</v>
      </c>
      <c r="P744" t="s">
        <v>2403</v>
      </c>
      <c r="Q744" t="s">
        <v>32</v>
      </c>
      <c r="R744">
        <v>168.71</v>
      </c>
      <c r="S744">
        <v>-6.93</v>
      </c>
      <c r="T744">
        <v>-17.04</v>
      </c>
      <c r="U744">
        <v>0.74</v>
      </c>
      <c r="V744">
        <v>16.3</v>
      </c>
      <c r="X744">
        <v>81</v>
      </c>
      <c r="Y744">
        <v>0</v>
      </c>
      <c r="Z744">
        <v>-9.7899999999999991</v>
      </c>
      <c r="AA744">
        <v>-4.8099999999999996</v>
      </c>
      <c r="AB744">
        <v>-6.99</v>
      </c>
    </row>
    <row r="745" spans="1:28" hidden="1" x14ac:dyDescent="0.2">
      <c r="A745" t="s">
        <v>1641</v>
      </c>
      <c r="B745" t="s">
        <v>1642</v>
      </c>
      <c r="H745">
        <v>1</v>
      </c>
      <c r="I745">
        <v>0</v>
      </c>
      <c r="K745" s="1">
        <v>43316</v>
      </c>
      <c r="L745" t="s">
        <v>71</v>
      </c>
      <c r="M745" t="s">
        <v>502</v>
      </c>
      <c r="N745" s="1">
        <v>44193</v>
      </c>
      <c r="Q745">
        <v>15.05</v>
      </c>
      <c r="R745">
        <v>4.4800000000000004</v>
      </c>
      <c r="S745">
        <v>-4.66</v>
      </c>
      <c r="T745">
        <v>3.11</v>
      </c>
      <c r="U745" t="s">
        <v>32</v>
      </c>
      <c r="V745" t="s">
        <v>32</v>
      </c>
      <c r="Y745">
        <v>0</v>
      </c>
      <c r="Z745">
        <v>28.9</v>
      </c>
      <c r="AA745">
        <v>0.11</v>
      </c>
      <c r="AB745">
        <v>1.1100000000000001</v>
      </c>
    </row>
    <row r="746" spans="1:28" hidden="1" x14ac:dyDescent="0.2">
      <c r="A746" t="s">
        <v>1643</v>
      </c>
      <c r="B746" t="s">
        <v>1644</v>
      </c>
      <c r="F746">
        <v>52</v>
      </c>
      <c r="G746">
        <v>3.6</v>
      </c>
      <c r="H746">
        <v>1</v>
      </c>
      <c r="I746">
        <v>0</v>
      </c>
      <c r="K746" s="1">
        <v>43316</v>
      </c>
      <c r="L746" t="s">
        <v>95</v>
      </c>
      <c r="M746" t="s">
        <v>558</v>
      </c>
      <c r="N746" s="1">
        <v>44193</v>
      </c>
      <c r="O746">
        <v>10380</v>
      </c>
      <c r="Q746">
        <v>1.66</v>
      </c>
      <c r="R746">
        <v>23.35</v>
      </c>
      <c r="S746">
        <v>12.59</v>
      </c>
      <c r="T746">
        <v>13.24</v>
      </c>
      <c r="U746">
        <v>8.4600000000000009</v>
      </c>
      <c r="V746">
        <v>12.41</v>
      </c>
      <c r="X746">
        <v>6169</v>
      </c>
      <c r="Y746">
        <v>1.6</v>
      </c>
      <c r="Z746">
        <v>26.34</v>
      </c>
      <c r="AA746">
        <v>9.9600000000000009</v>
      </c>
      <c r="AB746">
        <v>88.42</v>
      </c>
    </row>
    <row r="747" spans="1:28" hidden="1" x14ac:dyDescent="0.2">
      <c r="A747" t="s">
        <v>1645</v>
      </c>
      <c r="B747" t="s">
        <v>1646</v>
      </c>
      <c r="L747" t="s">
        <v>35</v>
      </c>
      <c r="M747" t="s">
        <v>144</v>
      </c>
      <c r="N747" s="1">
        <v>44193</v>
      </c>
      <c r="Q747">
        <v>4.63</v>
      </c>
      <c r="R747">
        <v>-9.89</v>
      </c>
      <c r="S747">
        <v>3.85</v>
      </c>
      <c r="T747">
        <v>6</v>
      </c>
      <c r="U747">
        <v>7.69</v>
      </c>
      <c r="V747">
        <v>2.78</v>
      </c>
      <c r="Y747">
        <v>0</v>
      </c>
      <c r="Z747">
        <v>4.8499999999999996</v>
      </c>
      <c r="AA747">
        <v>1.45</v>
      </c>
      <c r="AB747">
        <v>5.3</v>
      </c>
    </row>
    <row r="748" spans="1:28" hidden="1" x14ac:dyDescent="0.2">
      <c r="A748" t="s">
        <v>1527</v>
      </c>
      <c r="B748" t="s">
        <v>1528</v>
      </c>
      <c r="H748">
        <v>1</v>
      </c>
      <c r="I748">
        <v>0</v>
      </c>
      <c r="K748" s="1">
        <v>43316</v>
      </c>
      <c r="L748" t="s">
        <v>43</v>
      </c>
      <c r="M748" t="s">
        <v>47</v>
      </c>
      <c r="N748" s="1">
        <v>44197</v>
      </c>
      <c r="O748">
        <v>1684</v>
      </c>
      <c r="P748" t="s">
        <v>2403</v>
      </c>
      <c r="Q748" t="s">
        <v>32</v>
      </c>
      <c r="R748">
        <v>3.27</v>
      </c>
      <c r="S748">
        <v>23.45</v>
      </c>
      <c r="T748">
        <v>12.3</v>
      </c>
      <c r="U748">
        <v>22.31</v>
      </c>
      <c r="V748">
        <v>19.309999999999999</v>
      </c>
      <c r="X748" t="s">
        <v>32</v>
      </c>
      <c r="Y748">
        <v>1.2</v>
      </c>
      <c r="Z748">
        <v>14.96</v>
      </c>
      <c r="AA748">
        <v>14.72</v>
      </c>
      <c r="AB748">
        <v>384.78</v>
      </c>
    </row>
    <row r="749" spans="1:28" hidden="1" x14ac:dyDescent="0.2">
      <c r="A749" t="s">
        <v>1649</v>
      </c>
      <c r="B749" t="s">
        <v>1650</v>
      </c>
      <c r="L749" t="s">
        <v>39</v>
      </c>
      <c r="M749" t="s">
        <v>1605</v>
      </c>
      <c r="N749" s="1">
        <v>44193</v>
      </c>
      <c r="Q749">
        <v>1.53</v>
      </c>
      <c r="R749">
        <v>-8.4600000000000009</v>
      </c>
      <c r="S749">
        <v>-0.91</v>
      </c>
      <c r="T749">
        <v>17.84</v>
      </c>
      <c r="U749">
        <v>10.130000000000001</v>
      </c>
      <c r="V749">
        <v>5.09</v>
      </c>
      <c r="Y749">
        <v>0</v>
      </c>
      <c r="Z749">
        <v>4.7300000000000004</v>
      </c>
      <c r="AA749">
        <v>5.7</v>
      </c>
      <c r="AB749">
        <v>11.91</v>
      </c>
    </row>
    <row r="750" spans="1:28" hidden="1" x14ac:dyDescent="0.2">
      <c r="A750" t="s">
        <v>1529</v>
      </c>
      <c r="B750" t="s">
        <v>1530</v>
      </c>
      <c r="F750">
        <v>39</v>
      </c>
      <c r="H750">
        <v>1</v>
      </c>
      <c r="I750">
        <v>0</v>
      </c>
      <c r="K750" s="1">
        <v>43316</v>
      </c>
      <c r="L750" t="s">
        <v>43</v>
      </c>
      <c r="M750" t="s">
        <v>47</v>
      </c>
      <c r="N750" s="1">
        <v>44197</v>
      </c>
      <c r="O750">
        <v>16</v>
      </c>
      <c r="P750" t="s">
        <v>2403</v>
      </c>
      <c r="Q750" t="s">
        <v>32</v>
      </c>
      <c r="R750">
        <v>580.42999999999995</v>
      </c>
      <c r="S750">
        <v>-9.1199999999999992</v>
      </c>
      <c r="T750">
        <v>31.39</v>
      </c>
      <c r="U750">
        <v>11.3</v>
      </c>
      <c r="V750">
        <v>3.63</v>
      </c>
      <c r="X750" t="s">
        <v>32</v>
      </c>
      <c r="Y750">
        <v>0</v>
      </c>
      <c r="Z750">
        <v>0.56999999999999995</v>
      </c>
      <c r="AA750">
        <v>2.0499999999999998</v>
      </c>
      <c r="AB750">
        <v>5.51</v>
      </c>
    </row>
    <row r="751" spans="1:28" hidden="1" x14ac:dyDescent="0.2">
      <c r="A751" t="s">
        <v>1653</v>
      </c>
      <c r="B751" t="s">
        <v>1654</v>
      </c>
      <c r="H751">
        <v>0</v>
      </c>
      <c r="I751">
        <v>0</v>
      </c>
      <c r="J751" t="s">
        <v>68</v>
      </c>
      <c r="K751" s="1">
        <v>43316</v>
      </c>
    </row>
    <row r="752" spans="1:28" hidden="1" x14ac:dyDescent="0.2">
      <c r="A752" t="s">
        <v>1655</v>
      </c>
      <c r="B752" t="s">
        <v>1656</v>
      </c>
      <c r="L752" t="s">
        <v>113</v>
      </c>
      <c r="M752" t="s">
        <v>126</v>
      </c>
      <c r="N752" s="1">
        <v>44193</v>
      </c>
      <c r="Q752">
        <v>3.72</v>
      </c>
      <c r="R752">
        <v>-14.46</v>
      </c>
      <c r="S752">
        <v>1.49</v>
      </c>
      <c r="T752">
        <v>12.67</v>
      </c>
      <c r="U752">
        <v>9.07</v>
      </c>
      <c r="V752">
        <v>4.9400000000000004</v>
      </c>
      <c r="Y752">
        <v>0</v>
      </c>
      <c r="Z752">
        <v>11.1</v>
      </c>
      <c r="AA752">
        <v>4.1399999999999997</v>
      </c>
      <c r="AB752">
        <v>12.13</v>
      </c>
    </row>
    <row r="753" spans="1:28" hidden="1" x14ac:dyDescent="0.2">
      <c r="A753" t="s">
        <v>1657</v>
      </c>
      <c r="B753" t="s">
        <v>1658</v>
      </c>
      <c r="L753" t="s">
        <v>226</v>
      </c>
      <c r="M753" t="s">
        <v>243</v>
      </c>
      <c r="N753" s="1">
        <v>44193</v>
      </c>
      <c r="Q753">
        <v>10.15</v>
      </c>
      <c r="R753">
        <v>-53.65</v>
      </c>
      <c r="S753">
        <v>-30.29</v>
      </c>
      <c r="T753">
        <v>-15.04</v>
      </c>
      <c r="U753">
        <v>-7.78</v>
      </c>
      <c r="V753">
        <v>1.17</v>
      </c>
      <c r="Y753">
        <v>0</v>
      </c>
      <c r="Z753">
        <v>-79.47</v>
      </c>
      <c r="AA753">
        <v>-14.96</v>
      </c>
      <c r="AB753">
        <v>-86.24</v>
      </c>
    </row>
    <row r="754" spans="1:28" hidden="1" x14ac:dyDescent="0.2">
      <c r="A754" t="s">
        <v>1875</v>
      </c>
      <c r="B754" t="s">
        <v>1876</v>
      </c>
      <c r="N754" s="1">
        <v>44193</v>
      </c>
      <c r="R754">
        <v>393.81</v>
      </c>
      <c r="S754">
        <v>144.36000000000001</v>
      </c>
      <c r="T754" t="s">
        <v>32</v>
      </c>
      <c r="U754" t="s">
        <v>32</v>
      </c>
      <c r="V754" t="s">
        <v>32</v>
      </c>
      <c r="Y754">
        <v>0</v>
      </c>
      <c r="Z754">
        <v>-38.43</v>
      </c>
      <c r="AA754">
        <v>-24.96</v>
      </c>
      <c r="AB754">
        <v>-138.26</v>
      </c>
    </row>
    <row r="755" spans="1:28" hidden="1" x14ac:dyDescent="0.2">
      <c r="A755" t="s">
        <v>1661</v>
      </c>
      <c r="B755" t="s">
        <v>1662</v>
      </c>
      <c r="N755" s="1">
        <v>44193</v>
      </c>
      <c r="Q755">
        <v>11.34</v>
      </c>
      <c r="R755">
        <v>-48.36</v>
      </c>
      <c r="S755">
        <v>-16.420000000000002</v>
      </c>
      <c r="T755">
        <v>-6.93</v>
      </c>
      <c r="U755">
        <v>-0.87</v>
      </c>
      <c r="V755">
        <v>4.0999999999999996</v>
      </c>
      <c r="Y755">
        <v>0</v>
      </c>
      <c r="Z755">
        <v>-9.27</v>
      </c>
      <c r="AA755">
        <v>-9.33</v>
      </c>
      <c r="AB755">
        <v>-21.65</v>
      </c>
    </row>
    <row r="756" spans="1:28" hidden="1" x14ac:dyDescent="0.2">
      <c r="A756" t="s">
        <v>1663</v>
      </c>
      <c r="B756" t="s">
        <v>1664</v>
      </c>
      <c r="L756" t="s">
        <v>43</v>
      </c>
      <c r="M756" t="s">
        <v>137</v>
      </c>
      <c r="N756" s="1">
        <v>44193</v>
      </c>
      <c r="Q756">
        <v>2.27</v>
      </c>
      <c r="R756">
        <v>15.49</v>
      </c>
      <c r="S756">
        <v>8.4700000000000006</v>
      </c>
      <c r="T756">
        <v>8.64</v>
      </c>
      <c r="U756">
        <v>14.64</v>
      </c>
      <c r="V756">
        <v>8.82</v>
      </c>
      <c r="Y756">
        <v>1.1000000000000001</v>
      </c>
      <c r="Z756">
        <v>2.17</v>
      </c>
      <c r="AA756">
        <v>3.33</v>
      </c>
      <c r="AB756">
        <v>15.61</v>
      </c>
    </row>
    <row r="757" spans="1:28" hidden="1" x14ac:dyDescent="0.2">
      <c r="A757" t="s">
        <v>1665</v>
      </c>
      <c r="B757" t="s">
        <v>1666</v>
      </c>
      <c r="L757" t="s">
        <v>226</v>
      </c>
      <c r="M757" t="s">
        <v>386</v>
      </c>
      <c r="N757" s="1">
        <v>44193</v>
      </c>
      <c r="Q757">
        <v>11.35</v>
      </c>
      <c r="R757">
        <v>-47.84</v>
      </c>
      <c r="S757">
        <v>-16.920000000000002</v>
      </c>
      <c r="T757">
        <v>-8.44</v>
      </c>
      <c r="U757" t="s">
        <v>32</v>
      </c>
      <c r="V757" t="s">
        <v>32</v>
      </c>
      <c r="Y757">
        <v>0</v>
      </c>
      <c r="Z757">
        <v>-1.89</v>
      </c>
      <c r="AA757">
        <v>-1.81</v>
      </c>
      <c r="AB757">
        <v>-27.57</v>
      </c>
    </row>
    <row r="758" spans="1:28" hidden="1" x14ac:dyDescent="0.2">
      <c r="A758" t="s">
        <v>2145</v>
      </c>
      <c r="B758" t="s">
        <v>2146</v>
      </c>
      <c r="N758" s="1">
        <v>44197</v>
      </c>
      <c r="O758">
        <v>8</v>
      </c>
      <c r="P758" t="s">
        <v>2403</v>
      </c>
      <c r="Q758" t="s">
        <v>32</v>
      </c>
      <c r="R758">
        <v>402.39</v>
      </c>
      <c r="S758">
        <v>127.4</v>
      </c>
      <c r="T758">
        <v>42.59</v>
      </c>
      <c r="U758" t="s">
        <v>32</v>
      </c>
      <c r="V758" t="s">
        <v>32</v>
      </c>
      <c r="X758">
        <v>19</v>
      </c>
      <c r="Y758">
        <v>0</v>
      </c>
      <c r="Z758">
        <v>1</v>
      </c>
      <c r="AA758">
        <v>0.14000000000000001</v>
      </c>
      <c r="AB758">
        <v>0.86</v>
      </c>
    </row>
    <row r="759" spans="1:28" hidden="1" x14ac:dyDescent="0.2">
      <c r="A759" s="4" t="s">
        <v>1274</v>
      </c>
      <c r="B759" t="s">
        <v>1275</v>
      </c>
      <c r="F759">
        <v>56</v>
      </c>
      <c r="G759">
        <v>3.9</v>
      </c>
      <c r="H759">
        <v>0</v>
      </c>
      <c r="I759">
        <v>0</v>
      </c>
      <c r="J759" t="s">
        <v>53</v>
      </c>
      <c r="K759" s="1">
        <v>44198</v>
      </c>
      <c r="L759" t="s">
        <v>43</v>
      </c>
      <c r="M759" t="s">
        <v>264</v>
      </c>
      <c r="N759" s="1">
        <v>44193</v>
      </c>
      <c r="Q759">
        <v>1.71</v>
      </c>
      <c r="R759" s="6">
        <v>17.14</v>
      </c>
      <c r="S759" s="6">
        <v>22.95</v>
      </c>
      <c r="T759" s="6">
        <v>12.44</v>
      </c>
      <c r="U759" s="6">
        <v>21.1</v>
      </c>
      <c r="V759" s="6">
        <v>14.13</v>
      </c>
      <c r="W759" s="6"/>
      <c r="Y759">
        <v>1.6</v>
      </c>
    </row>
    <row r="760" spans="1:28" hidden="1" x14ac:dyDescent="0.2">
      <c r="A760" s="4" t="s">
        <v>1162</v>
      </c>
      <c r="B760" s="4" t="s">
        <v>1163</v>
      </c>
      <c r="C760" s="4"/>
      <c r="D760" s="4"/>
      <c r="E760" s="4"/>
      <c r="F760" s="4">
        <v>75</v>
      </c>
      <c r="G760" s="4"/>
      <c r="H760" s="4">
        <v>1</v>
      </c>
      <c r="I760" s="4">
        <v>0</v>
      </c>
      <c r="J760" s="4" t="s">
        <v>53</v>
      </c>
      <c r="K760" s="1">
        <v>43316</v>
      </c>
      <c r="L760" s="4" t="s">
        <v>26</v>
      </c>
      <c r="M760" s="4" t="s">
        <v>77</v>
      </c>
      <c r="N760" s="1">
        <v>44194</v>
      </c>
      <c r="O760" s="4">
        <v>794</v>
      </c>
      <c r="P760" s="4"/>
      <c r="Q760" s="4"/>
      <c r="R760" s="7">
        <v>15.83</v>
      </c>
      <c r="S760" s="7">
        <v>33.369999999999997</v>
      </c>
      <c r="T760" s="7">
        <v>27.76</v>
      </c>
      <c r="U760" s="7">
        <v>20.99</v>
      </c>
      <c r="V760" s="4">
        <v>24.26</v>
      </c>
      <c r="W760" s="4"/>
      <c r="X760" s="4">
        <v>759</v>
      </c>
      <c r="Y760">
        <v>3.4</v>
      </c>
      <c r="Z760">
        <v>18.18</v>
      </c>
      <c r="AA760">
        <v>12.44</v>
      </c>
      <c r="AB760">
        <v>19.79</v>
      </c>
    </row>
    <row r="761" spans="1:28" hidden="1" x14ac:dyDescent="0.2">
      <c r="A761" t="s">
        <v>1673</v>
      </c>
      <c r="B761" t="s">
        <v>1674</v>
      </c>
      <c r="F761">
        <v>64</v>
      </c>
      <c r="H761">
        <v>1</v>
      </c>
      <c r="I761">
        <v>0</v>
      </c>
      <c r="K761" s="1">
        <v>43316</v>
      </c>
      <c r="L761" t="s">
        <v>39</v>
      </c>
      <c r="M761" t="s">
        <v>329</v>
      </c>
      <c r="N761" s="1">
        <v>44193</v>
      </c>
      <c r="Q761">
        <v>2.66</v>
      </c>
      <c r="R761">
        <v>14.81</v>
      </c>
      <c r="S761">
        <v>14.24</v>
      </c>
      <c r="T761">
        <v>14.4</v>
      </c>
      <c r="U761">
        <v>13.82</v>
      </c>
      <c r="V761">
        <v>7.45</v>
      </c>
      <c r="Y761">
        <v>6.3</v>
      </c>
      <c r="Z761">
        <v>26.66</v>
      </c>
      <c r="AA761">
        <v>12.23</v>
      </c>
      <c r="AB761">
        <v>38.799999999999997</v>
      </c>
    </row>
    <row r="762" spans="1:28" hidden="1" x14ac:dyDescent="0.2">
      <c r="A762" t="s">
        <v>1675</v>
      </c>
      <c r="B762" t="s">
        <v>1676</v>
      </c>
      <c r="F762">
        <v>72</v>
      </c>
      <c r="H762">
        <v>1</v>
      </c>
      <c r="I762">
        <v>0</v>
      </c>
      <c r="J762" t="s">
        <v>68</v>
      </c>
      <c r="K762" s="1">
        <v>43316</v>
      </c>
      <c r="L762" t="s">
        <v>226</v>
      </c>
      <c r="M762" t="s">
        <v>227</v>
      </c>
      <c r="N762" s="1">
        <v>44193</v>
      </c>
      <c r="Q762">
        <v>8.26</v>
      </c>
      <c r="R762">
        <v>-77.45</v>
      </c>
      <c r="S762">
        <v>-35.06</v>
      </c>
      <c r="T762">
        <v>-20.07</v>
      </c>
      <c r="U762" t="s">
        <v>32</v>
      </c>
      <c r="V762" t="s">
        <v>32</v>
      </c>
      <c r="Y762">
        <v>0</v>
      </c>
      <c r="Z762">
        <v>-5.86</v>
      </c>
      <c r="AA762">
        <v>-10.9</v>
      </c>
      <c r="AB762">
        <v>-42.12</v>
      </c>
    </row>
    <row r="763" spans="1:28" hidden="1" x14ac:dyDescent="0.2">
      <c r="A763" t="s">
        <v>2055</v>
      </c>
      <c r="B763" t="s">
        <v>2056</v>
      </c>
      <c r="N763" s="1">
        <v>44197</v>
      </c>
      <c r="O763">
        <v>-56</v>
      </c>
      <c r="P763" t="s">
        <v>2403</v>
      </c>
      <c r="Q763" t="s">
        <v>32</v>
      </c>
      <c r="R763">
        <v>17.260000000000002</v>
      </c>
      <c r="S763">
        <v>-53</v>
      </c>
      <c r="T763">
        <v>-33.42</v>
      </c>
      <c r="U763" t="s">
        <v>32</v>
      </c>
      <c r="V763" t="s">
        <v>32</v>
      </c>
      <c r="X763">
        <v>104</v>
      </c>
      <c r="Y763">
        <v>0</v>
      </c>
      <c r="Z763">
        <v>-23.87</v>
      </c>
      <c r="AA763">
        <v>-22.77</v>
      </c>
      <c r="AB763">
        <v>-671.97</v>
      </c>
    </row>
    <row r="764" spans="1:28" hidden="1" x14ac:dyDescent="0.2">
      <c r="A764" t="s">
        <v>1679</v>
      </c>
      <c r="B764" t="s">
        <v>1680</v>
      </c>
      <c r="F764">
        <v>63</v>
      </c>
      <c r="H764">
        <v>1</v>
      </c>
      <c r="I764">
        <v>0</v>
      </c>
      <c r="K764" s="1">
        <v>43316</v>
      </c>
      <c r="L764" t="s">
        <v>39</v>
      </c>
      <c r="M764" t="s">
        <v>1605</v>
      </c>
      <c r="N764" s="1">
        <v>44193</v>
      </c>
      <c r="O764">
        <v>1424</v>
      </c>
      <c r="Q764">
        <v>1.47</v>
      </c>
      <c r="R764">
        <v>10.82</v>
      </c>
      <c r="S764">
        <v>10.1</v>
      </c>
      <c r="T764">
        <v>15.25</v>
      </c>
      <c r="U764">
        <v>6.51</v>
      </c>
      <c r="V764">
        <v>8.91</v>
      </c>
      <c r="X764">
        <v>286</v>
      </c>
      <c r="Y764">
        <v>0</v>
      </c>
      <c r="Z764">
        <v>7.39</v>
      </c>
      <c r="AA764">
        <v>5.18</v>
      </c>
      <c r="AB764">
        <v>14.14</v>
      </c>
    </row>
    <row r="765" spans="1:28" hidden="1" x14ac:dyDescent="0.2">
      <c r="A765" t="s">
        <v>1608</v>
      </c>
      <c r="B765" t="s">
        <v>1609</v>
      </c>
      <c r="F765">
        <v>37</v>
      </c>
      <c r="H765">
        <v>1</v>
      </c>
      <c r="I765">
        <v>0</v>
      </c>
      <c r="K765" s="1">
        <v>43316</v>
      </c>
      <c r="L765" t="s">
        <v>113</v>
      </c>
      <c r="M765" t="s">
        <v>124</v>
      </c>
      <c r="N765" s="1">
        <v>44197</v>
      </c>
      <c r="O765">
        <v>-5121</v>
      </c>
      <c r="P765" t="s">
        <v>2403</v>
      </c>
      <c r="Q765" t="s">
        <v>32</v>
      </c>
      <c r="R765">
        <v>14.63</v>
      </c>
      <c r="S765">
        <v>-34.74</v>
      </c>
      <c r="T765">
        <v>-21.42</v>
      </c>
      <c r="U765">
        <v>-6.27</v>
      </c>
      <c r="V765">
        <v>-0.81</v>
      </c>
      <c r="X765" t="s">
        <v>32</v>
      </c>
      <c r="Y765">
        <v>0</v>
      </c>
      <c r="Z765">
        <v>-27.81</v>
      </c>
      <c r="AA765">
        <v>-5.66</v>
      </c>
      <c r="AB765">
        <v>-34.75</v>
      </c>
    </row>
    <row r="766" spans="1:28" hidden="1" x14ac:dyDescent="0.2">
      <c r="A766" s="2" t="s">
        <v>1632</v>
      </c>
      <c r="B766" t="s">
        <v>1633</v>
      </c>
      <c r="F766">
        <v>73</v>
      </c>
      <c r="G766">
        <v>3.4</v>
      </c>
      <c r="N766" s="1">
        <v>44193</v>
      </c>
      <c r="O766">
        <v>106</v>
      </c>
      <c r="Q766">
        <v>0.24</v>
      </c>
      <c r="R766" s="6">
        <v>15.26</v>
      </c>
      <c r="S766" s="6">
        <v>10.11</v>
      </c>
      <c r="T766">
        <v>34.82</v>
      </c>
      <c r="U766" s="6">
        <v>22.61</v>
      </c>
      <c r="V766">
        <v>22.9</v>
      </c>
      <c r="X766">
        <v>82</v>
      </c>
      <c r="Y766">
        <v>1.9</v>
      </c>
      <c r="Z766">
        <v>27.01</v>
      </c>
      <c r="AA766">
        <v>9.19</v>
      </c>
      <c r="AB766">
        <v>12.62</v>
      </c>
    </row>
    <row r="767" spans="1:28" hidden="1" x14ac:dyDescent="0.2">
      <c r="A767" s="2" t="s">
        <v>1761</v>
      </c>
      <c r="B767" t="s">
        <v>1762</v>
      </c>
      <c r="F767">
        <v>47</v>
      </c>
      <c r="G767">
        <v>3</v>
      </c>
      <c r="J767" t="s">
        <v>53</v>
      </c>
      <c r="N767" s="1">
        <v>44194</v>
      </c>
      <c r="O767">
        <v>178</v>
      </c>
      <c r="R767">
        <v>555.91</v>
      </c>
      <c r="S767">
        <v>313.06</v>
      </c>
      <c r="T767">
        <v>117.69</v>
      </c>
      <c r="U767" t="s">
        <v>32</v>
      </c>
      <c r="V767" t="s">
        <v>32</v>
      </c>
      <c r="X767">
        <v>51</v>
      </c>
      <c r="Y767">
        <v>0</v>
      </c>
      <c r="Z767">
        <v>24.69</v>
      </c>
      <c r="AA767">
        <v>21.99</v>
      </c>
      <c r="AB767">
        <v>62.51</v>
      </c>
    </row>
    <row r="768" spans="1:28" hidden="1" x14ac:dyDescent="0.2">
      <c r="A768" t="s">
        <v>1687</v>
      </c>
      <c r="B768" t="s">
        <v>1688</v>
      </c>
      <c r="F768">
        <v>61</v>
      </c>
      <c r="H768">
        <v>1</v>
      </c>
      <c r="I768">
        <v>0</v>
      </c>
      <c r="K768" s="1">
        <v>43316</v>
      </c>
      <c r="L768" t="s">
        <v>113</v>
      </c>
      <c r="M768" t="s">
        <v>126</v>
      </c>
      <c r="N768" s="1">
        <v>44193</v>
      </c>
      <c r="Q768">
        <v>3.33</v>
      </c>
      <c r="R768">
        <v>1.03</v>
      </c>
      <c r="S768">
        <v>7.13</v>
      </c>
      <c r="T768">
        <v>11.38</v>
      </c>
      <c r="U768">
        <v>8.85</v>
      </c>
      <c r="V768">
        <v>5.99</v>
      </c>
      <c r="Y768">
        <v>4.5</v>
      </c>
      <c r="Z768">
        <v>19.739999999999998</v>
      </c>
      <c r="AA768">
        <v>3.97</v>
      </c>
      <c r="AB768">
        <v>12.42</v>
      </c>
    </row>
    <row r="769" spans="1:28" hidden="1" x14ac:dyDescent="0.2">
      <c r="A769" t="s">
        <v>2061</v>
      </c>
      <c r="B769" t="s">
        <v>2062</v>
      </c>
      <c r="N769" s="1">
        <v>44197</v>
      </c>
      <c r="O769">
        <v>-773</v>
      </c>
      <c r="P769" t="s">
        <v>2403</v>
      </c>
      <c r="Q769" t="s">
        <v>32</v>
      </c>
      <c r="R769">
        <v>237.91</v>
      </c>
      <c r="S769">
        <v>40.22</v>
      </c>
      <c r="T769">
        <v>40.07</v>
      </c>
      <c r="U769">
        <v>14.11</v>
      </c>
      <c r="V769">
        <v>9.67</v>
      </c>
      <c r="X769" t="s">
        <v>32</v>
      </c>
      <c r="Y769">
        <v>0</v>
      </c>
      <c r="Z769">
        <v>-19.86</v>
      </c>
      <c r="AA769">
        <v>-5.31</v>
      </c>
      <c r="AB769">
        <v>-33.979999999999997</v>
      </c>
    </row>
    <row r="770" spans="1:28" hidden="1" x14ac:dyDescent="0.2">
      <c r="A770" t="s">
        <v>1691</v>
      </c>
      <c r="B770" t="s">
        <v>1692</v>
      </c>
      <c r="F770">
        <v>53</v>
      </c>
      <c r="H770">
        <v>0</v>
      </c>
      <c r="I770">
        <v>0</v>
      </c>
      <c r="K770" s="1">
        <v>43316</v>
      </c>
      <c r="L770" t="s">
        <v>99</v>
      </c>
      <c r="M770" t="s">
        <v>258</v>
      </c>
      <c r="N770" s="1">
        <v>44193</v>
      </c>
      <c r="Q770">
        <v>2.74</v>
      </c>
      <c r="R770">
        <v>8.91</v>
      </c>
      <c r="S770">
        <v>9.68</v>
      </c>
      <c r="T770">
        <v>10.09</v>
      </c>
      <c r="U770">
        <v>10.25</v>
      </c>
      <c r="V770">
        <v>7.78</v>
      </c>
      <c r="Y770">
        <v>3.9</v>
      </c>
      <c r="Z770">
        <v>10.27</v>
      </c>
      <c r="AA770">
        <v>8.31</v>
      </c>
      <c r="AB770">
        <v>51</v>
      </c>
    </row>
    <row r="771" spans="1:28" hidden="1" x14ac:dyDescent="0.2">
      <c r="A771" t="s">
        <v>1693</v>
      </c>
      <c r="B771" t="s">
        <v>1694</v>
      </c>
      <c r="H771">
        <v>1</v>
      </c>
      <c r="I771">
        <v>0</v>
      </c>
      <c r="K771" s="1">
        <v>43316</v>
      </c>
      <c r="L771" t="s">
        <v>226</v>
      </c>
      <c r="M771" t="s">
        <v>243</v>
      </c>
      <c r="N771" s="1">
        <v>44193</v>
      </c>
      <c r="R771">
        <v>0</v>
      </c>
      <c r="S771">
        <v>12.4</v>
      </c>
      <c r="T771">
        <v>-17.579999999999998</v>
      </c>
      <c r="U771" t="s">
        <v>32</v>
      </c>
      <c r="V771" t="s">
        <v>32</v>
      </c>
      <c r="Y771">
        <v>0</v>
      </c>
      <c r="Z771">
        <v>43.33</v>
      </c>
      <c r="AA771">
        <v>16.21</v>
      </c>
      <c r="AB771">
        <v>41.37</v>
      </c>
    </row>
    <row r="772" spans="1:28" hidden="1" x14ac:dyDescent="0.2">
      <c r="A772" t="s">
        <v>1695</v>
      </c>
      <c r="B772" t="s">
        <v>1696</v>
      </c>
      <c r="N772" s="1">
        <v>44193</v>
      </c>
      <c r="Q772">
        <v>3.62</v>
      </c>
      <c r="R772">
        <v>48.43</v>
      </c>
      <c r="S772">
        <v>-6.76</v>
      </c>
      <c r="T772">
        <v>17.29</v>
      </c>
      <c r="U772">
        <v>8.76</v>
      </c>
      <c r="V772">
        <v>7.08</v>
      </c>
      <c r="Y772">
        <v>0</v>
      </c>
      <c r="Z772">
        <v>9.82</v>
      </c>
      <c r="AA772">
        <v>19.72</v>
      </c>
      <c r="AB772">
        <v>22.92</v>
      </c>
    </row>
    <row r="773" spans="1:28" hidden="1" x14ac:dyDescent="0.2">
      <c r="A773" t="s">
        <v>1697</v>
      </c>
      <c r="B773" t="s">
        <v>1698</v>
      </c>
      <c r="F773">
        <v>62</v>
      </c>
      <c r="H773">
        <v>0</v>
      </c>
      <c r="I773">
        <v>0</v>
      </c>
      <c r="K773" s="1">
        <v>43316</v>
      </c>
      <c r="L773" t="s">
        <v>26</v>
      </c>
      <c r="M773" t="s">
        <v>202</v>
      </c>
      <c r="N773" s="1">
        <v>44193</v>
      </c>
      <c r="O773">
        <v>8686</v>
      </c>
      <c r="Q773">
        <v>3.97</v>
      </c>
      <c r="R773">
        <v>2.0099999999999998</v>
      </c>
      <c r="S773">
        <v>5.87</v>
      </c>
      <c r="T773">
        <v>6.82</v>
      </c>
      <c r="U773">
        <v>11.03</v>
      </c>
      <c r="V773">
        <v>5.71</v>
      </c>
      <c r="X773">
        <v>9039</v>
      </c>
      <c r="Y773">
        <v>5.3</v>
      </c>
      <c r="Z773">
        <v>17.850000000000001</v>
      </c>
      <c r="AA773">
        <v>4.97</v>
      </c>
      <c r="AB773">
        <v>13.33</v>
      </c>
    </row>
    <row r="774" spans="1:28" hidden="1" x14ac:dyDescent="0.2">
      <c r="A774" t="s">
        <v>1699</v>
      </c>
      <c r="B774" t="s">
        <v>1700</v>
      </c>
      <c r="H774">
        <v>1</v>
      </c>
      <c r="I774">
        <v>0</v>
      </c>
      <c r="K774" s="1">
        <v>43316</v>
      </c>
      <c r="L774" t="s">
        <v>35</v>
      </c>
      <c r="M774" t="s">
        <v>144</v>
      </c>
      <c r="N774" s="1">
        <v>44193</v>
      </c>
      <c r="Q774">
        <v>4.4800000000000004</v>
      </c>
      <c r="R774">
        <v>-7.31</v>
      </c>
      <c r="S774">
        <v>-8.27</v>
      </c>
      <c r="T774">
        <v>5.07</v>
      </c>
      <c r="U774">
        <v>6.79</v>
      </c>
      <c r="V774">
        <v>2.2000000000000002</v>
      </c>
      <c r="Y774">
        <v>0</v>
      </c>
      <c r="Z774">
        <v>8.15</v>
      </c>
      <c r="AA774">
        <v>0.45</v>
      </c>
      <c r="AB774">
        <v>8.0399999999999991</v>
      </c>
    </row>
    <row r="775" spans="1:28" hidden="1" x14ac:dyDescent="0.2">
      <c r="A775" t="s">
        <v>778</v>
      </c>
      <c r="B775" t="s">
        <v>779</v>
      </c>
      <c r="F775">
        <v>41</v>
      </c>
      <c r="H775">
        <v>1</v>
      </c>
      <c r="I775">
        <v>0</v>
      </c>
      <c r="K775" s="1">
        <v>43316</v>
      </c>
      <c r="L775" t="s">
        <v>99</v>
      </c>
      <c r="M775" t="s">
        <v>618</v>
      </c>
      <c r="N775" s="1">
        <v>44197</v>
      </c>
      <c r="O775">
        <v>-151</v>
      </c>
      <c r="P775" t="s">
        <v>2403</v>
      </c>
      <c r="Q775" t="s">
        <v>32</v>
      </c>
      <c r="R775">
        <v>-7.52</v>
      </c>
      <c r="S775">
        <v>12.88</v>
      </c>
      <c r="T775">
        <v>15.52</v>
      </c>
      <c r="U775" t="s">
        <v>32</v>
      </c>
      <c r="V775" t="s">
        <v>32</v>
      </c>
      <c r="X775" t="s">
        <v>32</v>
      </c>
      <c r="Y775">
        <v>0.9</v>
      </c>
      <c r="Z775">
        <v>-0.57999999999999996</v>
      </c>
      <c r="AA775">
        <v>-2.17</v>
      </c>
      <c r="AB775">
        <v>-9</v>
      </c>
    </row>
    <row r="776" spans="1:28" hidden="1" x14ac:dyDescent="0.2">
      <c r="A776" t="s">
        <v>1703</v>
      </c>
      <c r="B776" t="s">
        <v>1704</v>
      </c>
      <c r="F776">
        <v>52</v>
      </c>
      <c r="H776">
        <v>0</v>
      </c>
      <c r="I776">
        <v>0</v>
      </c>
      <c r="J776" t="s">
        <v>53</v>
      </c>
      <c r="K776" s="1">
        <v>43316</v>
      </c>
      <c r="L776" t="s">
        <v>99</v>
      </c>
      <c r="M776" t="s">
        <v>561</v>
      </c>
      <c r="N776" s="1">
        <v>44193</v>
      </c>
      <c r="Q776">
        <v>2.25</v>
      </c>
      <c r="R776">
        <v>12.47</v>
      </c>
      <c r="S776">
        <v>16.760000000000002</v>
      </c>
      <c r="T776">
        <v>13.76</v>
      </c>
      <c r="U776">
        <v>9.65</v>
      </c>
      <c r="V776">
        <v>7.39</v>
      </c>
      <c r="Y776">
        <v>4.5</v>
      </c>
      <c r="Z776">
        <v>18.559999999999999</v>
      </c>
      <c r="AA776">
        <v>11.5</v>
      </c>
      <c r="AB776">
        <v>28.93</v>
      </c>
    </row>
    <row r="777" spans="1:28" hidden="1" x14ac:dyDescent="0.2">
      <c r="A777" s="2" t="s">
        <v>1683</v>
      </c>
      <c r="B777" t="s">
        <v>1684</v>
      </c>
      <c r="F777" t="s">
        <v>2404</v>
      </c>
      <c r="G777" t="s">
        <v>2404</v>
      </c>
      <c r="N777" s="1">
        <v>44197</v>
      </c>
      <c r="O777">
        <v>28</v>
      </c>
      <c r="P777" t="s">
        <v>2403</v>
      </c>
      <c r="Q777" t="s">
        <v>32</v>
      </c>
      <c r="R777">
        <v>938.87</v>
      </c>
      <c r="S777">
        <v>52.16</v>
      </c>
      <c r="T777" t="s">
        <v>32</v>
      </c>
      <c r="U777" t="s">
        <v>32</v>
      </c>
      <c r="V777" t="s">
        <v>32</v>
      </c>
      <c r="X777">
        <v>2</v>
      </c>
      <c r="Y777">
        <v>0</v>
      </c>
      <c r="Z777">
        <v>58.79</v>
      </c>
      <c r="AA777">
        <v>95.57</v>
      </c>
      <c r="AB777">
        <v>99.58</v>
      </c>
    </row>
    <row r="778" spans="1:28" hidden="1" x14ac:dyDescent="0.2">
      <c r="A778" t="s">
        <v>1707</v>
      </c>
      <c r="B778" t="s">
        <v>1708</v>
      </c>
      <c r="F778">
        <v>69</v>
      </c>
      <c r="H778">
        <v>1</v>
      </c>
      <c r="I778">
        <v>0</v>
      </c>
      <c r="K778" s="1">
        <v>43316</v>
      </c>
      <c r="L778" t="s">
        <v>35</v>
      </c>
      <c r="M778" t="s">
        <v>129</v>
      </c>
      <c r="N778" s="1">
        <v>44193</v>
      </c>
      <c r="Q778">
        <v>0.46</v>
      </c>
      <c r="R778">
        <v>37.35</v>
      </c>
      <c r="S778">
        <v>22.32</v>
      </c>
      <c r="T778">
        <v>26.64</v>
      </c>
      <c r="U778">
        <v>18.57</v>
      </c>
      <c r="V778">
        <v>9.2100000000000009</v>
      </c>
      <c r="Y778">
        <v>3.7</v>
      </c>
      <c r="Z778">
        <v>12.07</v>
      </c>
      <c r="AA778">
        <v>8.66</v>
      </c>
      <c r="AB778">
        <v>32.44</v>
      </c>
    </row>
    <row r="779" spans="1:28" hidden="1" x14ac:dyDescent="0.2">
      <c r="A779" s="2" t="s">
        <v>1988</v>
      </c>
      <c r="B779" t="s">
        <v>1989</v>
      </c>
      <c r="F779">
        <v>52</v>
      </c>
      <c r="G779">
        <v>3.4</v>
      </c>
      <c r="J779" t="s">
        <v>1029</v>
      </c>
      <c r="N779" s="1">
        <v>44197</v>
      </c>
      <c r="O779">
        <v>-7012</v>
      </c>
      <c r="P779" t="s">
        <v>2403</v>
      </c>
      <c r="Q779" t="s">
        <v>32</v>
      </c>
      <c r="R779">
        <v>1112.44</v>
      </c>
      <c r="S779" t="s">
        <v>32</v>
      </c>
      <c r="T779" t="s">
        <v>32</v>
      </c>
      <c r="U779" t="s">
        <v>32</v>
      </c>
      <c r="V779" t="s">
        <v>32</v>
      </c>
      <c r="X779">
        <v>2685</v>
      </c>
      <c r="Y779">
        <v>0</v>
      </c>
      <c r="Z779">
        <v>-56.26</v>
      </c>
      <c r="AA779">
        <v>-27.37</v>
      </c>
      <c r="AB779">
        <v>-314.06</v>
      </c>
    </row>
    <row r="780" spans="1:28" hidden="1" x14ac:dyDescent="0.2">
      <c r="A780" t="s">
        <v>1711</v>
      </c>
      <c r="B780" t="s">
        <v>1712</v>
      </c>
      <c r="L780" t="s">
        <v>43</v>
      </c>
      <c r="M780" t="s">
        <v>713</v>
      </c>
      <c r="N780" s="1">
        <v>44193</v>
      </c>
      <c r="Q780">
        <v>1.1000000000000001</v>
      </c>
      <c r="R780">
        <v>16.73</v>
      </c>
      <c r="S780">
        <v>11.72</v>
      </c>
      <c r="T780">
        <v>21</v>
      </c>
      <c r="U780">
        <v>20.58</v>
      </c>
      <c r="V780">
        <v>1.1599999999999999</v>
      </c>
      <c r="Y780">
        <v>0</v>
      </c>
      <c r="Z780">
        <v>11.9</v>
      </c>
      <c r="AA780">
        <v>11.95</v>
      </c>
      <c r="AB780">
        <v>22.63</v>
      </c>
    </row>
    <row r="781" spans="1:28" hidden="1" x14ac:dyDescent="0.2">
      <c r="A781" t="s">
        <v>1713</v>
      </c>
      <c r="B781" t="s">
        <v>1714</v>
      </c>
      <c r="F781">
        <v>40</v>
      </c>
      <c r="H781">
        <v>1</v>
      </c>
      <c r="I781">
        <v>0</v>
      </c>
      <c r="K781" s="1">
        <v>43316</v>
      </c>
      <c r="L781" t="s">
        <v>43</v>
      </c>
      <c r="M781" t="s">
        <v>1087</v>
      </c>
      <c r="N781" s="1">
        <v>44193</v>
      </c>
      <c r="O781">
        <v>25</v>
      </c>
      <c r="Q781">
        <v>2.58</v>
      </c>
      <c r="R781">
        <v>-0.28999999999999998</v>
      </c>
      <c r="S781">
        <v>-5.39</v>
      </c>
      <c r="T781">
        <v>5.12</v>
      </c>
      <c r="U781">
        <v>11.54</v>
      </c>
      <c r="V781">
        <v>11.34</v>
      </c>
      <c r="X781">
        <v>295</v>
      </c>
      <c r="Y781">
        <v>1.3</v>
      </c>
      <c r="Z781">
        <v>0.38</v>
      </c>
      <c r="AA781">
        <v>0.54</v>
      </c>
      <c r="AB781">
        <v>2.5499999999999998</v>
      </c>
    </row>
    <row r="782" spans="1:28" hidden="1" x14ac:dyDescent="0.2">
      <c r="A782" s="2" t="s">
        <v>1363</v>
      </c>
      <c r="B782" t="s">
        <v>1364</v>
      </c>
      <c r="F782">
        <v>86</v>
      </c>
      <c r="G782">
        <v>4.4000000000000004</v>
      </c>
      <c r="J782" t="s">
        <v>1029</v>
      </c>
      <c r="L782" t="s">
        <v>95</v>
      </c>
      <c r="M782" t="s">
        <v>542</v>
      </c>
      <c r="N782" s="1">
        <v>44197</v>
      </c>
      <c r="O782">
        <v>-95</v>
      </c>
      <c r="P782" t="s">
        <v>2403</v>
      </c>
      <c r="Q782" t="s">
        <v>32</v>
      </c>
      <c r="R782">
        <v>193.6</v>
      </c>
      <c r="S782" t="s">
        <v>32</v>
      </c>
      <c r="T782" t="s">
        <v>32</v>
      </c>
      <c r="U782" t="s">
        <v>32</v>
      </c>
      <c r="V782" t="s">
        <v>32</v>
      </c>
      <c r="X782">
        <v>67</v>
      </c>
      <c r="Y782">
        <v>0</v>
      </c>
      <c r="Z782" t="s">
        <v>2403</v>
      </c>
      <c r="AA782" t="s">
        <v>2403</v>
      </c>
      <c r="AB782" t="s">
        <v>2403</v>
      </c>
    </row>
    <row r="783" spans="1:28" hidden="1" x14ac:dyDescent="0.2">
      <c r="A783" s="4" t="s">
        <v>458</v>
      </c>
      <c r="B783" s="4" t="s">
        <v>459</v>
      </c>
      <c r="C783" s="4"/>
      <c r="D783" s="4"/>
      <c r="E783" s="4"/>
      <c r="F783" s="4">
        <v>76</v>
      </c>
      <c r="G783" s="4"/>
      <c r="H783" s="4">
        <v>0</v>
      </c>
      <c r="I783" s="4">
        <v>0</v>
      </c>
      <c r="J783" s="4" t="s">
        <v>53</v>
      </c>
      <c r="K783" s="1">
        <v>43316</v>
      </c>
      <c r="L783" s="4" t="s">
        <v>35</v>
      </c>
      <c r="M783" s="4" t="s">
        <v>106</v>
      </c>
      <c r="N783" s="1">
        <v>44193</v>
      </c>
      <c r="O783" s="4"/>
      <c r="P783" s="4"/>
      <c r="Q783" s="4">
        <v>0.48</v>
      </c>
      <c r="R783" s="7">
        <v>13.49</v>
      </c>
      <c r="S783" s="7">
        <v>31.1</v>
      </c>
      <c r="T783" s="7">
        <v>28.21</v>
      </c>
      <c r="U783" s="4">
        <v>31.71</v>
      </c>
      <c r="V783" s="4"/>
      <c r="W783" s="4"/>
      <c r="X783" s="4"/>
      <c r="Y783">
        <v>2</v>
      </c>
      <c r="Z783">
        <v>43.13</v>
      </c>
      <c r="AA783">
        <v>23.36</v>
      </c>
      <c r="AB783">
        <v>125.19</v>
      </c>
    </row>
    <row r="784" spans="1:28" hidden="1" x14ac:dyDescent="0.2">
      <c r="A784" t="s">
        <v>1719</v>
      </c>
      <c r="B784" t="s">
        <v>1720</v>
      </c>
      <c r="L784" t="s">
        <v>43</v>
      </c>
      <c r="M784" t="s">
        <v>405</v>
      </c>
      <c r="N784" s="1">
        <v>44193</v>
      </c>
      <c r="Q784">
        <v>2.4300000000000002</v>
      </c>
      <c r="R784">
        <v>24.23</v>
      </c>
      <c r="S784">
        <v>6.64</v>
      </c>
      <c r="T784">
        <v>18.54</v>
      </c>
      <c r="U784">
        <v>19.87</v>
      </c>
      <c r="V784">
        <v>13.9</v>
      </c>
      <c r="Y784">
        <v>0</v>
      </c>
      <c r="Z784">
        <v>7.05</v>
      </c>
      <c r="AA784">
        <v>6.45</v>
      </c>
      <c r="AB784">
        <v>15.06</v>
      </c>
    </row>
    <row r="785" spans="1:28" hidden="1" x14ac:dyDescent="0.2">
      <c r="A785" s="4" t="s">
        <v>642</v>
      </c>
      <c r="B785" t="s">
        <v>643</v>
      </c>
      <c r="F785">
        <v>70</v>
      </c>
      <c r="H785">
        <v>1</v>
      </c>
      <c r="I785">
        <v>0</v>
      </c>
      <c r="J785" t="s">
        <v>80</v>
      </c>
      <c r="K785" s="1">
        <v>43316</v>
      </c>
      <c r="L785" t="s">
        <v>39</v>
      </c>
      <c r="M785" t="s">
        <v>197</v>
      </c>
      <c r="N785" s="1">
        <v>44193</v>
      </c>
      <c r="Q785">
        <v>1.07</v>
      </c>
      <c r="R785" s="6">
        <v>13.34</v>
      </c>
      <c r="S785" s="6">
        <v>11.05</v>
      </c>
      <c r="T785" s="6">
        <v>17.66</v>
      </c>
      <c r="U785" s="6">
        <v>19.579999999999998</v>
      </c>
      <c r="V785" s="6">
        <v>16.75</v>
      </c>
      <c r="W785" s="6"/>
      <c r="Y785">
        <v>4</v>
      </c>
    </row>
    <row r="786" spans="1:28" hidden="1" x14ac:dyDescent="0.2">
      <c r="A786" t="s">
        <v>1723</v>
      </c>
      <c r="B786" t="s">
        <v>1724</v>
      </c>
      <c r="N786" s="1">
        <v>44193</v>
      </c>
      <c r="O786">
        <v>981123</v>
      </c>
      <c r="Q786">
        <v>2.92</v>
      </c>
      <c r="R786">
        <v>22.01</v>
      </c>
      <c r="S786">
        <v>-5.0999999999999996</v>
      </c>
      <c r="T786">
        <v>13.16</v>
      </c>
      <c r="U786">
        <v>-2.81</v>
      </c>
      <c r="V786">
        <v>3.9</v>
      </c>
      <c r="X786">
        <v>105148</v>
      </c>
      <c r="Y786">
        <v>0</v>
      </c>
      <c r="Z786">
        <v>1.65</v>
      </c>
      <c r="AA786">
        <v>1.21</v>
      </c>
      <c r="AB786">
        <v>2.19</v>
      </c>
    </row>
    <row r="787" spans="1:28" hidden="1" x14ac:dyDescent="0.2">
      <c r="A787" t="s">
        <v>1725</v>
      </c>
      <c r="B787" t="s">
        <v>1726</v>
      </c>
      <c r="H787">
        <v>1</v>
      </c>
      <c r="I787">
        <v>0</v>
      </c>
      <c r="K787" s="1">
        <v>43316</v>
      </c>
      <c r="L787" t="s">
        <v>71</v>
      </c>
      <c r="M787" t="s">
        <v>872</v>
      </c>
      <c r="N787" s="1">
        <v>44193</v>
      </c>
      <c r="Q787">
        <v>2.27</v>
      </c>
      <c r="R787">
        <v>13.32</v>
      </c>
      <c r="S787">
        <v>17.52</v>
      </c>
      <c r="T787">
        <v>20.309999999999999</v>
      </c>
      <c r="U787">
        <v>13.78</v>
      </c>
      <c r="V787">
        <v>6.13</v>
      </c>
      <c r="Y787">
        <v>5.3</v>
      </c>
      <c r="Z787">
        <v>38</v>
      </c>
      <c r="AA787">
        <v>3.32</v>
      </c>
      <c r="AB787">
        <v>5.79</v>
      </c>
    </row>
    <row r="788" spans="1:28" hidden="1" x14ac:dyDescent="0.2">
      <c r="A788" t="s">
        <v>2065</v>
      </c>
      <c r="B788" t="s">
        <v>2066</v>
      </c>
      <c r="N788" s="1">
        <v>44197</v>
      </c>
      <c r="O788">
        <v>6</v>
      </c>
      <c r="P788" t="s">
        <v>2403</v>
      </c>
      <c r="Q788" t="s">
        <v>32</v>
      </c>
      <c r="R788">
        <v>3.95</v>
      </c>
      <c r="S788">
        <v>30.88</v>
      </c>
      <c r="T788">
        <v>38.76</v>
      </c>
      <c r="U788" t="s">
        <v>32</v>
      </c>
      <c r="V788" t="s">
        <v>32</v>
      </c>
      <c r="X788" t="s">
        <v>32</v>
      </c>
      <c r="Y788">
        <v>0</v>
      </c>
      <c r="Z788" t="s">
        <v>2403</v>
      </c>
      <c r="AA788" t="s">
        <v>2403</v>
      </c>
      <c r="AB788" t="s">
        <v>2403</v>
      </c>
    </row>
    <row r="789" spans="1:28" hidden="1" x14ac:dyDescent="0.2">
      <c r="A789" t="s">
        <v>1729</v>
      </c>
      <c r="B789" t="s">
        <v>1730</v>
      </c>
      <c r="N789" s="1">
        <v>44193</v>
      </c>
      <c r="Q789">
        <v>1.1000000000000001</v>
      </c>
      <c r="R789">
        <v>-4.17</v>
      </c>
      <c r="S789">
        <v>-19.3</v>
      </c>
      <c r="T789">
        <v>-10.31</v>
      </c>
      <c r="U789">
        <v>-2.13</v>
      </c>
      <c r="V789">
        <v>0.6</v>
      </c>
      <c r="Y789">
        <v>0</v>
      </c>
      <c r="Z789">
        <v>-54.36</v>
      </c>
      <c r="AA789">
        <v>-31.8</v>
      </c>
      <c r="AB789">
        <v>-328.66</v>
      </c>
    </row>
    <row r="790" spans="1:28" hidden="1" x14ac:dyDescent="0.2">
      <c r="A790" t="s">
        <v>2073</v>
      </c>
      <c r="B790" t="s">
        <v>2074</v>
      </c>
      <c r="N790" s="1">
        <v>44197</v>
      </c>
      <c r="O790">
        <v>-104</v>
      </c>
      <c r="P790" t="s">
        <v>2403</v>
      </c>
      <c r="Q790" t="s">
        <v>32</v>
      </c>
      <c r="R790">
        <v>973.1</v>
      </c>
      <c r="S790">
        <v>143.11000000000001</v>
      </c>
      <c r="T790">
        <v>74.260000000000005</v>
      </c>
      <c r="U790">
        <v>24.77</v>
      </c>
      <c r="V790">
        <v>-2.72</v>
      </c>
      <c r="X790">
        <v>41</v>
      </c>
      <c r="Y790">
        <v>0</v>
      </c>
      <c r="Z790">
        <v>-33.76</v>
      </c>
      <c r="AA790">
        <v>-10.1</v>
      </c>
      <c r="AB790">
        <v>-34.43</v>
      </c>
    </row>
    <row r="791" spans="1:28" hidden="1" x14ac:dyDescent="0.2">
      <c r="A791" t="s">
        <v>1733</v>
      </c>
      <c r="B791" t="s">
        <v>1734</v>
      </c>
      <c r="F791">
        <v>61</v>
      </c>
      <c r="H791">
        <v>1</v>
      </c>
      <c r="I791">
        <v>0</v>
      </c>
      <c r="K791" s="1">
        <v>43316</v>
      </c>
      <c r="L791" t="s">
        <v>99</v>
      </c>
      <c r="M791" t="s">
        <v>1462</v>
      </c>
      <c r="N791" s="1">
        <v>44193</v>
      </c>
      <c r="Q791">
        <v>6.22</v>
      </c>
      <c r="R791">
        <v>1.32</v>
      </c>
      <c r="S791">
        <v>-2.71</v>
      </c>
      <c r="T791">
        <v>3.34</v>
      </c>
      <c r="U791">
        <v>7.62</v>
      </c>
      <c r="V791" t="s">
        <v>32</v>
      </c>
      <c r="Y791">
        <v>2.2000000000000002</v>
      </c>
    </row>
    <row r="792" spans="1:28" hidden="1" x14ac:dyDescent="0.2">
      <c r="A792" t="s">
        <v>1735</v>
      </c>
      <c r="B792" t="s">
        <v>1736</v>
      </c>
      <c r="F792">
        <v>54</v>
      </c>
      <c r="H792">
        <v>0</v>
      </c>
      <c r="I792">
        <v>0</v>
      </c>
      <c r="J792" t="s">
        <v>80</v>
      </c>
      <c r="K792" s="1">
        <v>43316</v>
      </c>
      <c r="L792" t="s">
        <v>35</v>
      </c>
      <c r="M792" t="s">
        <v>235</v>
      </c>
      <c r="N792" s="1">
        <v>44193</v>
      </c>
      <c r="Q792">
        <v>3.33</v>
      </c>
      <c r="R792">
        <v>-6.03</v>
      </c>
      <c r="S792">
        <v>2.72</v>
      </c>
      <c r="T792">
        <v>11.12</v>
      </c>
      <c r="U792">
        <v>11.05</v>
      </c>
      <c r="V792">
        <v>7.15</v>
      </c>
      <c r="Y792">
        <v>0</v>
      </c>
      <c r="Z792">
        <v>39.81</v>
      </c>
      <c r="AA792">
        <v>1.65</v>
      </c>
      <c r="AB792">
        <v>13.96</v>
      </c>
    </row>
    <row r="793" spans="1:28" hidden="1" x14ac:dyDescent="0.2">
      <c r="A793" t="s">
        <v>1737</v>
      </c>
      <c r="B793" t="s">
        <v>1738</v>
      </c>
      <c r="H793">
        <v>1</v>
      </c>
      <c r="I793">
        <v>0</v>
      </c>
      <c r="K793" s="1">
        <v>43316</v>
      </c>
      <c r="L793" t="s">
        <v>113</v>
      </c>
      <c r="M793" t="s">
        <v>124</v>
      </c>
      <c r="N793" s="1">
        <v>44193</v>
      </c>
      <c r="Q793">
        <v>3.88</v>
      </c>
      <c r="R793">
        <v>-8.7899999999999991</v>
      </c>
      <c r="S793">
        <v>0.67</v>
      </c>
      <c r="T793">
        <v>7.44</v>
      </c>
      <c r="U793">
        <v>9.4499999999999993</v>
      </c>
      <c r="V793">
        <v>6.76</v>
      </c>
      <c r="Y793">
        <v>3.9</v>
      </c>
      <c r="Z793">
        <v>18.03</v>
      </c>
      <c r="AA793">
        <v>3.33</v>
      </c>
      <c r="AB793">
        <v>11.13</v>
      </c>
    </row>
    <row r="794" spans="1:28" hidden="1" x14ac:dyDescent="0.2">
      <c r="A794" t="s">
        <v>1189</v>
      </c>
      <c r="B794" t="s">
        <v>1190</v>
      </c>
      <c r="F794">
        <v>39</v>
      </c>
      <c r="G794">
        <v>2.7</v>
      </c>
      <c r="K794" s="1">
        <v>43716</v>
      </c>
      <c r="L794" t="s">
        <v>99</v>
      </c>
      <c r="M794" t="s">
        <v>457</v>
      </c>
      <c r="N794" s="1">
        <v>44197</v>
      </c>
      <c r="O794">
        <v>1</v>
      </c>
      <c r="P794" t="s">
        <v>2403</v>
      </c>
      <c r="Q794" t="s">
        <v>32</v>
      </c>
      <c r="R794">
        <v>-7.42</v>
      </c>
      <c r="S794">
        <v>8.43</v>
      </c>
      <c r="T794">
        <v>10.36</v>
      </c>
      <c r="U794" t="s">
        <v>32</v>
      </c>
      <c r="V794" t="s">
        <v>32</v>
      </c>
      <c r="X794" t="s">
        <v>32</v>
      </c>
      <c r="Y794">
        <v>2.8</v>
      </c>
      <c r="Z794">
        <v>0.01</v>
      </c>
      <c r="AA794">
        <v>0.01</v>
      </c>
      <c r="AB794">
        <v>0.03</v>
      </c>
    </row>
    <row r="795" spans="1:28" hidden="1" x14ac:dyDescent="0.2">
      <c r="A795" s="4" t="s">
        <v>464</v>
      </c>
      <c r="B795" s="4" t="s">
        <v>465</v>
      </c>
      <c r="C795" s="4"/>
      <c r="D795" s="4"/>
      <c r="E795" s="4"/>
      <c r="F795" s="4">
        <v>74</v>
      </c>
      <c r="G795" s="4">
        <v>3.8</v>
      </c>
      <c r="H795" s="4">
        <v>0</v>
      </c>
      <c r="I795" s="4">
        <v>0</v>
      </c>
      <c r="J795" s="4" t="s">
        <v>53</v>
      </c>
      <c r="K795" s="1">
        <v>44138</v>
      </c>
      <c r="L795" s="4" t="s">
        <v>35</v>
      </c>
      <c r="M795" s="4" t="s">
        <v>106</v>
      </c>
      <c r="N795" s="1">
        <v>44193</v>
      </c>
      <c r="O795" s="4"/>
      <c r="P795" s="4"/>
      <c r="Q795" s="4">
        <v>0.57999999999999996</v>
      </c>
      <c r="R795" s="7">
        <v>11.92</v>
      </c>
      <c r="S795" s="7">
        <v>23.42</v>
      </c>
      <c r="T795" s="7">
        <v>22.19</v>
      </c>
      <c r="U795" s="4">
        <v>28.73</v>
      </c>
      <c r="V795" s="4"/>
      <c r="W795" s="4"/>
      <c r="X795" s="4"/>
      <c r="Y795">
        <v>3.5</v>
      </c>
      <c r="Z795">
        <v>49.74</v>
      </c>
      <c r="AA795">
        <v>14.16</v>
      </c>
      <c r="AB795">
        <v>36.01</v>
      </c>
    </row>
    <row r="796" spans="1:28" hidden="1" x14ac:dyDescent="0.2">
      <c r="A796" t="s">
        <v>1743</v>
      </c>
      <c r="B796" t="s">
        <v>1744</v>
      </c>
      <c r="F796">
        <v>50</v>
      </c>
      <c r="H796">
        <v>1</v>
      </c>
      <c r="I796">
        <v>0</v>
      </c>
      <c r="K796" s="1">
        <v>43316</v>
      </c>
      <c r="L796" t="s">
        <v>30</v>
      </c>
      <c r="M796" t="s">
        <v>164</v>
      </c>
      <c r="N796" s="1">
        <v>44193</v>
      </c>
      <c r="O796">
        <v>1079</v>
      </c>
      <c r="Q796">
        <v>1.43</v>
      </c>
      <c r="R796">
        <v>10.15</v>
      </c>
      <c r="S796">
        <v>9.11</v>
      </c>
      <c r="T796">
        <v>8.9600000000000009</v>
      </c>
      <c r="U796">
        <v>14.51</v>
      </c>
      <c r="V796">
        <v>12.32</v>
      </c>
      <c r="X796">
        <v>388</v>
      </c>
      <c r="Y796">
        <v>26.3</v>
      </c>
      <c r="Z796">
        <v>7.85</v>
      </c>
      <c r="AA796">
        <v>5.93</v>
      </c>
      <c r="AB796">
        <v>20.440000000000001</v>
      </c>
    </row>
    <row r="797" spans="1:28" hidden="1" x14ac:dyDescent="0.2">
      <c r="A797" t="s">
        <v>1745</v>
      </c>
      <c r="B797" t="s">
        <v>1745</v>
      </c>
      <c r="L797" t="s">
        <v>113</v>
      </c>
      <c r="M797" t="s">
        <v>124</v>
      </c>
      <c r="N797" s="1">
        <v>44193</v>
      </c>
      <c r="Q797">
        <v>5.83</v>
      </c>
      <c r="R797">
        <v>-19.850000000000001</v>
      </c>
      <c r="S797">
        <v>0.75</v>
      </c>
      <c r="T797">
        <v>0.39</v>
      </c>
      <c r="U797">
        <v>5.52</v>
      </c>
      <c r="V797">
        <v>3.73</v>
      </c>
      <c r="Y797">
        <v>0</v>
      </c>
      <c r="Z797">
        <v>20.22</v>
      </c>
      <c r="AA797">
        <v>3.34</v>
      </c>
      <c r="AB797">
        <v>12.06</v>
      </c>
    </row>
    <row r="798" spans="1:28" hidden="1" x14ac:dyDescent="0.2">
      <c r="A798" t="s">
        <v>1746</v>
      </c>
      <c r="B798" t="s">
        <v>1747</v>
      </c>
      <c r="J798" t="s">
        <v>68</v>
      </c>
      <c r="L798" t="s">
        <v>35</v>
      </c>
      <c r="M798" t="s">
        <v>132</v>
      </c>
      <c r="N798" s="1">
        <v>44193</v>
      </c>
      <c r="Q798">
        <v>5.82</v>
      </c>
      <c r="R798">
        <v>-13.51</v>
      </c>
      <c r="S798">
        <v>-8.58</v>
      </c>
      <c r="T798">
        <v>2.75</v>
      </c>
      <c r="U798">
        <v>5.76</v>
      </c>
      <c r="V798">
        <v>2.5499999999999998</v>
      </c>
      <c r="Y798">
        <v>2.2000000000000002</v>
      </c>
      <c r="Z798">
        <v>-0.16</v>
      </c>
      <c r="AA798">
        <v>-0.01</v>
      </c>
      <c r="AB798">
        <v>-0.14000000000000001</v>
      </c>
    </row>
    <row r="799" spans="1:28" hidden="1" x14ac:dyDescent="0.2">
      <c r="A799" t="s">
        <v>1748</v>
      </c>
      <c r="B799" t="s">
        <v>1749</v>
      </c>
      <c r="F799">
        <v>25</v>
      </c>
      <c r="H799">
        <v>1</v>
      </c>
      <c r="I799">
        <v>0</v>
      </c>
      <c r="K799" s="1">
        <v>43316</v>
      </c>
      <c r="L799" t="s">
        <v>43</v>
      </c>
      <c r="M799" t="s">
        <v>965</v>
      </c>
      <c r="N799" s="1">
        <v>44193</v>
      </c>
      <c r="Q799">
        <v>2.83</v>
      </c>
      <c r="R799">
        <v>11.48</v>
      </c>
      <c r="S799">
        <v>0.8</v>
      </c>
      <c r="T799">
        <v>-0.3</v>
      </c>
      <c r="U799">
        <v>-0.74</v>
      </c>
      <c r="V799">
        <v>2.63</v>
      </c>
      <c r="Y799">
        <v>0</v>
      </c>
      <c r="Z799">
        <v>7.5</v>
      </c>
      <c r="AA799">
        <v>3.42</v>
      </c>
      <c r="AB799">
        <v>6.26</v>
      </c>
    </row>
    <row r="800" spans="1:28" hidden="1" x14ac:dyDescent="0.2">
      <c r="A800" t="s">
        <v>1750</v>
      </c>
      <c r="B800" t="s">
        <v>1751</v>
      </c>
      <c r="F800">
        <v>72</v>
      </c>
      <c r="H800">
        <v>1</v>
      </c>
      <c r="I800">
        <v>0</v>
      </c>
      <c r="K800" s="1">
        <v>43316</v>
      </c>
      <c r="L800" t="s">
        <v>226</v>
      </c>
      <c r="M800" t="s">
        <v>227</v>
      </c>
      <c r="N800" s="1">
        <v>44193</v>
      </c>
      <c r="Q800">
        <v>5.94</v>
      </c>
      <c r="R800">
        <v>-36.1</v>
      </c>
      <c r="S800">
        <v>-7.86</v>
      </c>
      <c r="T800">
        <v>-0.06</v>
      </c>
      <c r="U800" t="s">
        <v>32</v>
      </c>
      <c r="V800" t="s">
        <v>32</v>
      </c>
      <c r="Y800">
        <v>2.6</v>
      </c>
      <c r="Z800">
        <v>-3.52</v>
      </c>
      <c r="AA800">
        <v>-4.79</v>
      </c>
      <c r="AB800">
        <v>-12.14</v>
      </c>
    </row>
    <row r="801" spans="1:28" hidden="1" x14ac:dyDescent="0.2">
      <c r="A801" s="4" t="s">
        <v>568</v>
      </c>
      <c r="B801" s="4" t="s">
        <v>569</v>
      </c>
      <c r="C801" s="4"/>
      <c r="D801" s="4"/>
      <c r="E801" s="4"/>
      <c r="F801" s="4">
        <v>69</v>
      </c>
      <c r="G801" s="4"/>
      <c r="H801" s="4">
        <v>1</v>
      </c>
      <c r="I801" s="4">
        <v>0</v>
      </c>
      <c r="J801" s="4" t="s">
        <v>80</v>
      </c>
      <c r="K801" s="1">
        <v>43316</v>
      </c>
      <c r="L801" s="4" t="s">
        <v>26</v>
      </c>
      <c r="M801" s="4" t="s">
        <v>27</v>
      </c>
      <c r="N801" s="1">
        <v>44197</v>
      </c>
      <c r="O801" s="4">
        <v>638</v>
      </c>
      <c r="P801" s="4" t="s">
        <v>2403</v>
      </c>
      <c r="Q801" s="4" t="s">
        <v>32</v>
      </c>
      <c r="R801" s="7">
        <v>11.53</v>
      </c>
      <c r="S801" s="7">
        <v>19.190000000000001</v>
      </c>
      <c r="T801" s="7">
        <v>14.03</v>
      </c>
      <c r="U801" s="7">
        <v>19.3</v>
      </c>
      <c r="V801" s="4">
        <v>30.22</v>
      </c>
      <c r="W801" s="4"/>
      <c r="X801" s="4">
        <v>644</v>
      </c>
      <c r="Y801">
        <v>2.4</v>
      </c>
      <c r="Z801">
        <v>19.7</v>
      </c>
      <c r="AA801">
        <v>8.8000000000000007</v>
      </c>
      <c r="AB801">
        <v>13.96</v>
      </c>
    </row>
    <row r="802" spans="1:28" hidden="1" x14ac:dyDescent="0.2">
      <c r="A802" t="s">
        <v>1647</v>
      </c>
      <c r="B802" t="s">
        <v>1648</v>
      </c>
      <c r="J802" t="s">
        <v>1029</v>
      </c>
      <c r="N802" s="1">
        <v>44197</v>
      </c>
      <c r="O802">
        <v>96</v>
      </c>
      <c r="P802" t="s">
        <v>2403</v>
      </c>
      <c r="Q802" t="s">
        <v>32</v>
      </c>
      <c r="R802" t="s">
        <v>32</v>
      </c>
      <c r="S802" t="s">
        <v>32</v>
      </c>
      <c r="T802" t="s">
        <v>32</v>
      </c>
      <c r="U802" t="s">
        <v>32</v>
      </c>
      <c r="V802" t="s">
        <v>32</v>
      </c>
      <c r="X802" t="s">
        <v>32</v>
      </c>
      <c r="Y802">
        <v>2.2999999999999998</v>
      </c>
      <c r="Z802">
        <v>8.44</v>
      </c>
      <c r="AA802">
        <v>14</v>
      </c>
      <c r="AB802">
        <v>20.5</v>
      </c>
    </row>
    <row r="803" spans="1:28" hidden="1" x14ac:dyDescent="0.2">
      <c r="A803" t="s">
        <v>1756</v>
      </c>
      <c r="B803" t="s">
        <v>1756</v>
      </c>
      <c r="L803" t="s">
        <v>43</v>
      </c>
      <c r="M803" t="s">
        <v>85</v>
      </c>
      <c r="N803" s="1">
        <v>44193</v>
      </c>
      <c r="Q803">
        <v>0.09</v>
      </c>
      <c r="R803">
        <v>-10.33</v>
      </c>
      <c r="S803">
        <v>-11.5</v>
      </c>
      <c r="T803">
        <v>5.32</v>
      </c>
      <c r="U803">
        <v>3.78</v>
      </c>
      <c r="V803">
        <v>7.44</v>
      </c>
      <c r="Y803">
        <v>3.9</v>
      </c>
      <c r="Z803">
        <v>-14.99</v>
      </c>
      <c r="AA803">
        <v>-8.4</v>
      </c>
      <c r="AB803">
        <v>-21.49</v>
      </c>
    </row>
    <row r="804" spans="1:28" hidden="1" x14ac:dyDescent="0.2">
      <c r="A804" t="s">
        <v>1185</v>
      </c>
      <c r="B804" t="s">
        <v>1186</v>
      </c>
      <c r="L804" t="s">
        <v>99</v>
      </c>
      <c r="M804" t="s">
        <v>457</v>
      </c>
      <c r="N804" s="1">
        <v>44197</v>
      </c>
      <c r="O804">
        <v>-15</v>
      </c>
      <c r="P804" t="s">
        <v>2403</v>
      </c>
      <c r="Q804" t="s">
        <v>2403</v>
      </c>
      <c r="R804" t="s">
        <v>2403</v>
      </c>
      <c r="S804" t="s">
        <v>2403</v>
      </c>
      <c r="T804" t="s">
        <v>2403</v>
      </c>
      <c r="U804" t="s">
        <v>2403</v>
      </c>
      <c r="V804" t="s">
        <v>2403</v>
      </c>
      <c r="X804" t="s">
        <v>32</v>
      </c>
      <c r="Y804">
        <v>0</v>
      </c>
      <c r="Z804" t="s">
        <v>2403</v>
      </c>
      <c r="AA804" t="s">
        <v>2403</v>
      </c>
      <c r="AB804" t="s">
        <v>2403</v>
      </c>
    </row>
    <row r="805" spans="1:28" hidden="1" x14ac:dyDescent="0.2">
      <c r="A805" t="s">
        <v>1759</v>
      </c>
      <c r="B805" t="s">
        <v>1760</v>
      </c>
      <c r="H805">
        <v>1</v>
      </c>
      <c r="I805">
        <v>0</v>
      </c>
      <c r="K805" s="1">
        <v>43316</v>
      </c>
      <c r="L805" t="s">
        <v>226</v>
      </c>
      <c r="M805" t="s">
        <v>243</v>
      </c>
      <c r="N805" s="1">
        <v>44193</v>
      </c>
      <c r="Q805">
        <v>2.08</v>
      </c>
      <c r="R805">
        <v>-24.52</v>
      </c>
      <c r="S805">
        <v>-12.24</v>
      </c>
      <c r="T805">
        <v>-1.52</v>
      </c>
      <c r="U805">
        <v>2.98</v>
      </c>
      <c r="V805">
        <v>5.56</v>
      </c>
      <c r="Y805">
        <v>0.9</v>
      </c>
      <c r="Z805">
        <v>2.2599999999999998</v>
      </c>
      <c r="AA805">
        <v>0.93</v>
      </c>
      <c r="AB805">
        <v>1.47</v>
      </c>
    </row>
    <row r="806" spans="1:28" hidden="1" x14ac:dyDescent="0.2">
      <c r="A806" t="s">
        <v>1394</v>
      </c>
      <c r="B806" t="s">
        <v>1395</v>
      </c>
      <c r="F806">
        <v>48</v>
      </c>
      <c r="H806">
        <v>0</v>
      </c>
      <c r="I806">
        <v>0</v>
      </c>
      <c r="K806" s="1">
        <v>43316</v>
      </c>
      <c r="L806" t="s">
        <v>95</v>
      </c>
      <c r="M806" t="s">
        <v>542</v>
      </c>
      <c r="N806" s="1">
        <v>44197</v>
      </c>
      <c r="O806">
        <v>3258</v>
      </c>
      <c r="P806" t="s">
        <v>2403</v>
      </c>
      <c r="Q806" t="s">
        <v>2403</v>
      </c>
      <c r="R806" t="s">
        <v>2403</v>
      </c>
      <c r="S806" t="s">
        <v>2403</v>
      </c>
      <c r="T806" t="s">
        <v>2403</v>
      </c>
      <c r="U806" t="s">
        <v>2403</v>
      </c>
      <c r="V806" t="s">
        <v>2403</v>
      </c>
      <c r="X806">
        <v>270</v>
      </c>
      <c r="Y806">
        <v>1.2</v>
      </c>
      <c r="Z806">
        <v>131.80000000000001</v>
      </c>
      <c r="AA806">
        <v>28.91</v>
      </c>
      <c r="AB806">
        <v>115.61</v>
      </c>
    </row>
    <row r="807" spans="1:28" hidden="1" x14ac:dyDescent="0.2">
      <c r="A807" t="s">
        <v>1763</v>
      </c>
      <c r="B807" t="s">
        <v>1764</v>
      </c>
      <c r="N807" s="1">
        <v>44193</v>
      </c>
      <c r="Q807">
        <v>8.26</v>
      </c>
      <c r="R807">
        <v>-7.71</v>
      </c>
      <c r="S807">
        <v>-6.5</v>
      </c>
      <c r="T807">
        <v>2.11</v>
      </c>
      <c r="U807">
        <v>4.51</v>
      </c>
      <c r="V807" t="s">
        <v>32</v>
      </c>
      <c r="Y807">
        <v>0</v>
      </c>
      <c r="Z807">
        <v>2.46</v>
      </c>
      <c r="AA807">
        <v>2.0099999999999998</v>
      </c>
      <c r="AB807">
        <v>12.42</v>
      </c>
    </row>
    <row r="808" spans="1:28" hidden="1" x14ac:dyDescent="0.2">
      <c r="A808" t="s">
        <v>1271</v>
      </c>
      <c r="B808" t="s">
        <v>1272</v>
      </c>
      <c r="F808">
        <v>43</v>
      </c>
      <c r="H808">
        <v>0</v>
      </c>
      <c r="I808">
        <v>0</v>
      </c>
      <c r="J808" t="s">
        <v>68</v>
      </c>
      <c r="K808" s="1">
        <v>43316</v>
      </c>
      <c r="L808" t="s">
        <v>43</v>
      </c>
      <c r="M808" t="s">
        <v>264</v>
      </c>
      <c r="N808" s="1">
        <v>44193</v>
      </c>
      <c r="Q808">
        <v>1.1200000000000001</v>
      </c>
      <c r="R808">
        <v>37.69</v>
      </c>
      <c r="S808">
        <v>16.62</v>
      </c>
      <c r="T808">
        <v>10.66</v>
      </c>
      <c r="U808">
        <v>21.03</v>
      </c>
      <c r="V808">
        <v>12.96</v>
      </c>
      <c r="Y808">
        <v>5.2</v>
      </c>
    </row>
    <row r="809" spans="1:28" hidden="1" x14ac:dyDescent="0.2">
      <c r="A809" t="s">
        <v>1767</v>
      </c>
      <c r="B809" t="s">
        <v>1768</v>
      </c>
      <c r="F809">
        <v>45</v>
      </c>
      <c r="H809">
        <v>0</v>
      </c>
      <c r="I809">
        <v>0</v>
      </c>
      <c r="J809" t="s">
        <v>80</v>
      </c>
      <c r="K809" s="1">
        <v>43316</v>
      </c>
      <c r="L809" t="s">
        <v>95</v>
      </c>
      <c r="M809" t="s">
        <v>96</v>
      </c>
      <c r="N809" s="1">
        <v>44193</v>
      </c>
      <c r="O809">
        <v>5198</v>
      </c>
      <c r="Q809">
        <v>1.73</v>
      </c>
      <c r="R809">
        <v>70.510000000000005</v>
      </c>
      <c r="S809">
        <v>34.15</v>
      </c>
      <c r="T809">
        <v>26.51</v>
      </c>
      <c r="U809">
        <v>12.95</v>
      </c>
      <c r="V809">
        <v>9.3699999999999992</v>
      </c>
      <c r="X809">
        <v>5975</v>
      </c>
      <c r="Y809">
        <v>0.9</v>
      </c>
      <c r="Z809">
        <v>22.09</v>
      </c>
      <c r="AA809">
        <v>15.17</v>
      </c>
      <c r="AB809">
        <v>94.63</v>
      </c>
    </row>
    <row r="810" spans="1:28" hidden="1" x14ac:dyDescent="0.2">
      <c r="A810" t="s">
        <v>1539</v>
      </c>
      <c r="B810" t="s">
        <v>1540</v>
      </c>
      <c r="F810">
        <v>40</v>
      </c>
      <c r="H810">
        <v>0</v>
      </c>
      <c r="I810">
        <v>0</v>
      </c>
      <c r="K810" s="1">
        <v>43316</v>
      </c>
      <c r="L810" t="s">
        <v>43</v>
      </c>
      <c r="M810" t="s">
        <v>47</v>
      </c>
      <c r="N810" s="1">
        <v>44197</v>
      </c>
      <c r="O810">
        <v>19263</v>
      </c>
      <c r="P810" t="s">
        <v>2403</v>
      </c>
      <c r="Q810" t="s">
        <v>2403</v>
      </c>
      <c r="R810" t="s">
        <v>2403</v>
      </c>
      <c r="S810" t="s">
        <v>2403</v>
      </c>
      <c r="T810" t="s">
        <v>2403</v>
      </c>
      <c r="U810" t="s">
        <v>2403</v>
      </c>
      <c r="V810" t="s">
        <v>2403</v>
      </c>
      <c r="X810" t="s">
        <v>32</v>
      </c>
      <c r="Y810">
        <v>1.5</v>
      </c>
      <c r="Z810">
        <v>3.51</v>
      </c>
      <c r="AA810">
        <v>1.62</v>
      </c>
      <c r="AB810">
        <v>10.55</v>
      </c>
    </row>
    <row r="811" spans="1:28" hidden="1" x14ac:dyDescent="0.2">
      <c r="A811" t="s">
        <v>1547</v>
      </c>
      <c r="B811" t="s">
        <v>1548</v>
      </c>
      <c r="L811" t="s">
        <v>43</v>
      </c>
      <c r="M811" t="s">
        <v>47</v>
      </c>
      <c r="N811" s="1">
        <v>44197</v>
      </c>
      <c r="O811">
        <v>679</v>
      </c>
      <c r="P811" t="s">
        <v>2403</v>
      </c>
      <c r="Q811" t="s">
        <v>32</v>
      </c>
      <c r="R811">
        <v>65.72</v>
      </c>
      <c r="S811">
        <v>-16.989999999999998</v>
      </c>
      <c r="T811">
        <v>-12.55</v>
      </c>
      <c r="U811">
        <v>1.34</v>
      </c>
      <c r="V811" t="s">
        <v>32</v>
      </c>
      <c r="X811" t="s">
        <v>32</v>
      </c>
      <c r="Y811">
        <v>0</v>
      </c>
      <c r="Z811">
        <v>4.8899999999999997</v>
      </c>
      <c r="AA811">
        <v>4.0199999999999996</v>
      </c>
      <c r="AB811">
        <v>16.52</v>
      </c>
    </row>
    <row r="812" spans="1:28" hidden="1" x14ac:dyDescent="0.2">
      <c r="A812" t="s">
        <v>1773</v>
      </c>
      <c r="B812" t="s">
        <v>1774</v>
      </c>
      <c r="H812">
        <v>1</v>
      </c>
      <c r="I812">
        <v>0</v>
      </c>
      <c r="J812" t="s">
        <v>68</v>
      </c>
      <c r="K812" s="1">
        <v>43316</v>
      </c>
      <c r="L812" t="s">
        <v>95</v>
      </c>
      <c r="M812" t="s">
        <v>96</v>
      </c>
    </row>
    <row r="813" spans="1:28" hidden="1" x14ac:dyDescent="0.2">
      <c r="A813" t="s">
        <v>1775</v>
      </c>
      <c r="B813" t="s">
        <v>1776</v>
      </c>
      <c r="H813">
        <v>1</v>
      </c>
      <c r="I813">
        <v>0</v>
      </c>
      <c r="J813" t="s">
        <v>68</v>
      </c>
      <c r="K813" s="1">
        <v>43316</v>
      </c>
      <c r="L813" t="s">
        <v>43</v>
      </c>
      <c r="M813" t="s">
        <v>264</v>
      </c>
      <c r="N813" s="1">
        <v>44193</v>
      </c>
      <c r="Q813">
        <v>3.62</v>
      </c>
      <c r="R813">
        <v>-2.35</v>
      </c>
      <c r="S813">
        <v>2.81</v>
      </c>
      <c r="T813">
        <v>12.81</v>
      </c>
      <c r="U813" t="s">
        <v>32</v>
      </c>
      <c r="V813" t="s">
        <v>32</v>
      </c>
      <c r="Y813">
        <v>0</v>
      </c>
      <c r="Z813">
        <v>11</v>
      </c>
      <c r="AA813">
        <v>2.5</v>
      </c>
      <c r="AB813">
        <v>23.82</v>
      </c>
    </row>
    <row r="814" spans="1:28" hidden="1" x14ac:dyDescent="0.2">
      <c r="A814" t="s">
        <v>1777</v>
      </c>
      <c r="B814" t="s">
        <v>1778</v>
      </c>
      <c r="N814" s="1">
        <v>44193</v>
      </c>
      <c r="O814">
        <v>36</v>
      </c>
      <c r="R814">
        <v>57.52</v>
      </c>
      <c r="S814">
        <v>5.53</v>
      </c>
      <c r="T814">
        <v>8.51</v>
      </c>
      <c r="U814">
        <v>-5</v>
      </c>
      <c r="V814">
        <v>11.11</v>
      </c>
      <c r="X814">
        <v>6</v>
      </c>
      <c r="Y814">
        <v>0</v>
      </c>
      <c r="Z814">
        <v>18.79</v>
      </c>
      <c r="AA814">
        <v>10.77</v>
      </c>
      <c r="AB814">
        <v>12.72</v>
      </c>
    </row>
    <row r="815" spans="1:28" hidden="1" x14ac:dyDescent="0.2">
      <c r="A815" t="s">
        <v>2101</v>
      </c>
      <c r="B815" t="s">
        <v>2102</v>
      </c>
      <c r="N815" s="1">
        <v>44197</v>
      </c>
      <c r="O815">
        <v>-1574</v>
      </c>
      <c r="P815" t="s">
        <v>2403</v>
      </c>
      <c r="Q815" t="s">
        <v>32</v>
      </c>
      <c r="R815">
        <v>-53.37</v>
      </c>
      <c r="S815" t="s">
        <v>32</v>
      </c>
      <c r="T815" t="s">
        <v>32</v>
      </c>
      <c r="U815" t="s">
        <v>32</v>
      </c>
      <c r="V815" t="s">
        <v>32</v>
      </c>
      <c r="X815">
        <v>1036</v>
      </c>
      <c r="Y815">
        <v>0</v>
      </c>
      <c r="Z815" t="s">
        <v>2403</v>
      </c>
      <c r="AA815" t="s">
        <v>2403</v>
      </c>
      <c r="AB815" t="s">
        <v>2403</v>
      </c>
    </row>
    <row r="816" spans="1:28" hidden="1" x14ac:dyDescent="0.2">
      <c r="A816" t="s">
        <v>1182</v>
      </c>
      <c r="B816" t="s">
        <v>1183</v>
      </c>
      <c r="L816" t="s">
        <v>30</v>
      </c>
      <c r="M816" t="s">
        <v>1184</v>
      </c>
    </row>
    <row r="817" spans="1:28" hidden="1" x14ac:dyDescent="0.2">
      <c r="A817" t="s">
        <v>1783</v>
      </c>
      <c r="B817" t="s">
        <v>1784</v>
      </c>
      <c r="L817" t="s">
        <v>39</v>
      </c>
      <c r="M817" t="s">
        <v>478</v>
      </c>
      <c r="N817" s="1">
        <v>44193</v>
      </c>
      <c r="Q817">
        <v>3.78</v>
      </c>
      <c r="R817">
        <v>22.93</v>
      </c>
      <c r="S817">
        <v>-5.93</v>
      </c>
      <c r="T817">
        <v>5.14</v>
      </c>
      <c r="U817">
        <v>4.71</v>
      </c>
      <c r="V817">
        <v>4.79</v>
      </c>
      <c r="Y817">
        <v>0</v>
      </c>
      <c r="Z817">
        <v>-2.37</v>
      </c>
      <c r="AA817">
        <v>-1.43</v>
      </c>
      <c r="AB817">
        <v>-8.6999999999999993</v>
      </c>
    </row>
    <row r="818" spans="1:28" hidden="1" x14ac:dyDescent="0.2">
      <c r="A818" t="s">
        <v>1224</v>
      </c>
      <c r="B818" t="s">
        <v>1225</v>
      </c>
      <c r="L818" t="s">
        <v>99</v>
      </c>
      <c r="M818" t="s">
        <v>1223</v>
      </c>
      <c r="N818" s="1">
        <v>44197</v>
      </c>
      <c r="O818">
        <v>-350</v>
      </c>
      <c r="P818" t="s">
        <v>2403</v>
      </c>
      <c r="Q818" t="s">
        <v>32</v>
      </c>
      <c r="R818">
        <v>2.33</v>
      </c>
      <c r="S818">
        <v>-26.21</v>
      </c>
      <c r="T818">
        <v>-36.78</v>
      </c>
      <c r="U818">
        <v>-1.0900000000000001</v>
      </c>
      <c r="V818">
        <v>-9.4</v>
      </c>
      <c r="X818" t="s">
        <v>32</v>
      </c>
      <c r="Y818">
        <v>0</v>
      </c>
      <c r="Z818">
        <v>-1.51</v>
      </c>
      <c r="AA818">
        <v>-3.45</v>
      </c>
      <c r="AB818">
        <v>-44.76</v>
      </c>
    </row>
    <row r="819" spans="1:28" hidden="1" x14ac:dyDescent="0.2">
      <c r="A819" t="s">
        <v>2107</v>
      </c>
      <c r="B819" t="s">
        <v>2108</v>
      </c>
      <c r="N819" s="1">
        <v>44197</v>
      </c>
      <c r="O819">
        <v>-88</v>
      </c>
      <c r="P819" t="s">
        <v>2403</v>
      </c>
      <c r="Q819" t="s">
        <v>32</v>
      </c>
      <c r="R819">
        <v>52.26</v>
      </c>
      <c r="S819">
        <v>38.479999999999997</v>
      </c>
      <c r="T819">
        <v>28.46</v>
      </c>
      <c r="U819">
        <v>15.62</v>
      </c>
      <c r="V819">
        <v>8.07</v>
      </c>
      <c r="X819">
        <v>114</v>
      </c>
      <c r="Y819">
        <v>0</v>
      </c>
      <c r="Z819">
        <v>-21.33</v>
      </c>
      <c r="AA819">
        <v>-6.75</v>
      </c>
      <c r="AB819">
        <v>-7.85</v>
      </c>
    </row>
    <row r="820" spans="1:28" hidden="1" x14ac:dyDescent="0.2">
      <c r="A820" t="s">
        <v>1789</v>
      </c>
      <c r="B820" t="s">
        <v>1790</v>
      </c>
      <c r="F820">
        <v>72</v>
      </c>
      <c r="G820">
        <v>3.8</v>
      </c>
      <c r="H820">
        <v>0</v>
      </c>
      <c r="I820">
        <v>0</v>
      </c>
      <c r="J820" t="s">
        <v>80</v>
      </c>
      <c r="K820" s="1">
        <v>43716</v>
      </c>
      <c r="L820" t="s">
        <v>43</v>
      </c>
      <c r="M820" t="s">
        <v>507</v>
      </c>
      <c r="N820" s="1">
        <v>44193</v>
      </c>
      <c r="Q820">
        <v>1.98</v>
      </c>
      <c r="R820">
        <v>-46.27</v>
      </c>
      <c r="S820">
        <v>-14</v>
      </c>
      <c r="T820">
        <v>-4.1399999999999997</v>
      </c>
      <c r="U820">
        <v>6.23</v>
      </c>
      <c r="V820">
        <v>4.45</v>
      </c>
      <c r="Y820">
        <v>0</v>
      </c>
      <c r="Z820">
        <v>-88.6</v>
      </c>
      <c r="AA820">
        <v>-13.49</v>
      </c>
      <c r="AB820">
        <v>-40.950000000000003</v>
      </c>
    </row>
    <row r="821" spans="1:28" hidden="1" x14ac:dyDescent="0.2">
      <c r="A821" t="s">
        <v>1080</v>
      </c>
      <c r="B821" t="s">
        <v>1081</v>
      </c>
      <c r="L821" t="s">
        <v>39</v>
      </c>
      <c r="M821" t="s">
        <v>1082</v>
      </c>
    </row>
    <row r="822" spans="1:28" hidden="1" x14ac:dyDescent="0.2">
      <c r="A822" t="s">
        <v>302</v>
      </c>
      <c r="B822" t="s">
        <v>303</v>
      </c>
      <c r="F822">
        <v>70</v>
      </c>
      <c r="H822">
        <v>1</v>
      </c>
      <c r="I822">
        <v>0</v>
      </c>
      <c r="K822" s="1">
        <v>43316</v>
      </c>
      <c r="L822" t="s">
        <v>26</v>
      </c>
      <c r="M822" t="s">
        <v>275</v>
      </c>
      <c r="N822" s="1">
        <v>44197</v>
      </c>
      <c r="O822">
        <v>3156</v>
      </c>
      <c r="P822" t="s">
        <v>2403</v>
      </c>
      <c r="Q822" t="s">
        <v>32</v>
      </c>
      <c r="R822">
        <v>28.66</v>
      </c>
      <c r="S822">
        <v>8.7200000000000006</v>
      </c>
      <c r="T822">
        <v>-2.31</v>
      </c>
      <c r="U822">
        <v>30.85</v>
      </c>
      <c r="V822">
        <v>25.56</v>
      </c>
      <c r="X822">
        <v>3130</v>
      </c>
      <c r="Y822">
        <v>0.9</v>
      </c>
      <c r="Z822">
        <v>34.14</v>
      </c>
      <c r="AA822">
        <v>21.02</v>
      </c>
      <c r="AB822">
        <v>30.6</v>
      </c>
    </row>
    <row r="823" spans="1:28" hidden="1" x14ac:dyDescent="0.2">
      <c r="A823" t="s">
        <v>683</v>
      </c>
      <c r="B823" t="s">
        <v>684</v>
      </c>
      <c r="F823">
        <v>46</v>
      </c>
      <c r="H823">
        <v>1</v>
      </c>
      <c r="I823">
        <v>0</v>
      </c>
      <c r="K823" s="1">
        <v>43316</v>
      </c>
      <c r="L823" t="s">
        <v>26</v>
      </c>
      <c r="M823" t="s">
        <v>530</v>
      </c>
    </row>
    <row r="824" spans="1:28" hidden="1" x14ac:dyDescent="0.2">
      <c r="A824" t="s">
        <v>1797</v>
      </c>
      <c r="B824" t="s">
        <v>1798</v>
      </c>
      <c r="F824">
        <v>45</v>
      </c>
      <c r="G824">
        <v>3.2</v>
      </c>
      <c r="H824">
        <v>1</v>
      </c>
      <c r="I824">
        <v>0</v>
      </c>
      <c r="K824" s="1">
        <v>43716</v>
      </c>
      <c r="L824" t="s">
        <v>35</v>
      </c>
      <c r="M824" t="s">
        <v>235</v>
      </c>
      <c r="N824" s="1">
        <v>44193</v>
      </c>
      <c r="Q824">
        <v>4.0599999999999996</v>
      </c>
      <c r="R824">
        <v>-3.66</v>
      </c>
      <c r="S824">
        <v>0.28999999999999998</v>
      </c>
      <c r="T824">
        <v>13.38</v>
      </c>
      <c r="U824">
        <v>10.77</v>
      </c>
      <c r="V824">
        <v>-2.7</v>
      </c>
      <c r="Y824">
        <v>4.7</v>
      </c>
      <c r="Z824">
        <v>12.7</v>
      </c>
      <c r="AA824">
        <v>0.56000000000000005</v>
      </c>
      <c r="AB824">
        <v>4.88</v>
      </c>
    </row>
    <row r="825" spans="1:28" hidden="1" x14ac:dyDescent="0.2">
      <c r="A825" t="s">
        <v>1799</v>
      </c>
      <c r="B825" t="s">
        <v>1800</v>
      </c>
      <c r="L825" t="s">
        <v>35</v>
      </c>
      <c r="M825" t="s">
        <v>1801</v>
      </c>
      <c r="N825" s="1">
        <v>44193</v>
      </c>
      <c r="Q825">
        <v>2.4300000000000002</v>
      </c>
      <c r="R825">
        <v>-28.08</v>
      </c>
      <c r="S825">
        <v>-7.89</v>
      </c>
      <c r="T825">
        <v>7.61</v>
      </c>
      <c r="U825">
        <v>9.08</v>
      </c>
      <c r="V825">
        <v>7.05</v>
      </c>
      <c r="Y825">
        <v>0</v>
      </c>
      <c r="Z825">
        <v>3.64</v>
      </c>
      <c r="AA825">
        <v>0.66</v>
      </c>
      <c r="AB825">
        <v>4.1900000000000004</v>
      </c>
    </row>
    <row r="826" spans="1:28" hidden="1" x14ac:dyDescent="0.2">
      <c r="A826" t="s">
        <v>1802</v>
      </c>
      <c r="B826" t="s">
        <v>1803</v>
      </c>
      <c r="H826">
        <v>1</v>
      </c>
      <c r="I826">
        <v>0</v>
      </c>
      <c r="K826" s="1">
        <v>43316</v>
      </c>
      <c r="L826" t="s">
        <v>39</v>
      </c>
      <c r="M826" t="s">
        <v>1387</v>
      </c>
      <c r="N826" s="1">
        <v>44193</v>
      </c>
      <c r="Q826">
        <v>2.12</v>
      </c>
      <c r="R826">
        <v>2.2000000000000002</v>
      </c>
      <c r="S826">
        <v>5.79</v>
      </c>
      <c r="T826">
        <v>7.53</v>
      </c>
      <c r="U826">
        <v>8.69</v>
      </c>
      <c r="V826">
        <v>4.43</v>
      </c>
      <c r="Y826">
        <v>2.5</v>
      </c>
      <c r="Z826">
        <v>6.08</v>
      </c>
      <c r="AA826">
        <v>13.32</v>
      </c>
      <c r="AB826">
        <v>28.16</v>
      </c>
    </row>
    <row r="827" spans="1:28" hidden="1" x14ac:dyDescent="0.2">
      <c r="A827" t="s">
        <v>1571</v>
      </c>
      <c r="B827" t="s">
        <v>1572</v>
      </c>
      <c r="L827" t="s">
        <v>30</v>
      </c>
      <c r="M827" t="s">
        <v>1573</v>
      </c>
    </row>
    <row r="828" spans="1:28" hidden="1" x14ac:dyDescent="0.2">
      <c r="A828" t="s">
        <v>1806</v>
      </c>
      <c r="B828" t="s">
        <v>1807</v>
      </c>
      <c r="F828">
        <v>53</v>
      </c>
      <c r="G828">
        <v>3.6</v>
      </c>
      <c r="J828" t="s">
        <v>68</v>
      </c>
      <c r="K828" s="1">
        <v>43716</v>
      </c>
      <c r="L828" t="s">
        <v>30</v>
      </c>
      <c r="M828" t="s">
        <v>369</v>
      </c>
      <c r="N828" s="1">
        <v>44193</v>
      </c>
      <c r="Q828">
        <v>5.94</v>
      </c>
      <c r="R828">
        <v>35.229999999999997</v>
      </c>
      <c r="S828">
        <v>20.43</v>
      </c>
      <c r="T828">
        <v>25.81</v>
      </c>
      <c r="U828">
        <v>4.34</v>
      </c>
      <c r="V828">
        <v>6.9</v>
      </c>
      <c r="Y828">
        <v>0</v>
      </c>
      <c r="Z828">
        <v>17.21</v>
      </c>
      <c r="AA828">
        <v>8.4</v>
      </c>
      <c r="AB828">
        <v>18.27</v>
      </c>
    </row>
    <row r="829" spans="1:28" hidden="1" x14ac:dyDescent="0.2">
      <c r="A829" t="s">
        <v>1808</v>
      </c>
      <c r="B829" t="s">
        <v>1809</v>
      </c>
      <c r="L829" t="s">
        <v>35</v>
      </c>
      <c r="M829" t="s">
        <v>210</v>
      </c>
      <c r="N829" s="1">
        <v>44193</v>
      </c>
      <c r="Q829">
        <v>1.63</v>
      </c>
      <c r="R829">
        <v>4.6399999999999997</v>
      </c>
      <c r="S829">
        <v>2.2400000000000002</v>
      </c>
      <c r="T829">
        <v>11.11</v>
      </c>
      <c r="U829">
        <v>11.82</v>
      </c>
      <c r="V829">
        <v>9.82</v>
      </c>
      <c r="Y829">
        <v>3.5</v>
      </c>
      <c r="Z829">
        <v>10.36</v>
      </c>
      <c r="AA829">
        <v>1.89</v>
      </c>
      <c r="AB829">
        <v>11.93</v>
      </c>
    </row>
    <row r="830" spans="1:28" hidden="1" x14ac:dyDescent="0.2">
      <c r="A830" t="s">
        <v>1810</v>
      </c>
      <c r="B830" t="s">
        <v>1811</v>
      </c>
      <c r="F830">
        <v>41</v>
      </c>
      <c r="H830">
        <v>1</v>
      </c>
      <c r="I830">
        <v>0</v>
      </c>
      <c r="K830" s="1">
        <v>43316</v>
      </c>
      <c r="L830" t="s">
        <v>43</v>
      </c>
      <c r="M830" t="s">
        <v>85</v>
      </c>
      <c r="N830" s="1">
        <v>44193</v>
      </c>
      <c r="Q830">
        <v>1.6</v>
      </c>
      <c r="R830">
        <v>-13.56</v>
      </c>
      <c r="S830">
        <v>1.73</v>
      </c>
      <c r="T830">
        <v>-0.48</v>
      </c>
      <c r="U830">
        <v>0.59</v>
      </c>
      <c r="V830">
        <v>5.14</v>
      </c>
      <c r="Y830">
        <v>4</v>
      </c>
      <c r="Z830">
        <v>-1.74</v>
      </c>
      <c r="AA830">
        <v>-1.0900000000000001</v>
      </c>
      <c r="AB830">
        <v>-2.99</v>
      </c>
    </row>
    <row r="831" spans="1:28" hidden="1" x14ac:dyDescent="0.2">
      <c r="A831" t="s">
        <v>1236</v>
      </c>
      <c r="B831" t="s">
        <v>1237</v>
      </c>
      <c r="L831" t="s">
        <v>71</v>
      </c>
      <c r="M831" t="s">
        <v>493</v>
      </c>
      <c r="N831" s="1">
        <v>44197</v>
      </c>
      <c r="O831">
        <v>-423</v>
      </c>
      <c r="P831" t="s">
        <v>2403</v>
      </c>
      <c r="Q831" t="s">
        <v>32</v>
      </c>
      <c r="R831">
        <v>35.54</v>
      </c>
      <c r="S831">
        <v>-19.64</v>
      </c>
      <c r="T831">
        <v>-17.18</v>
      </c>
      <c r="U831" t="s">
        <v>32</v>
      </c>
      <c r="V831" t="s">
        <v>32</v>
      </c>
      <c r="X831" t="s">
        <v>32</v>
      </c>
      <c r="Y831">
        <v>0</v>
      </c>
      <c r="Z831">
        <v>-7.68</v>
      </c>
      <c r="AA831">
        <v>-5.73</v>
      </c>
      <c r="AB831">
        <v>-21.65</v>
      </c>
    </row>
    <row r="832" spans="1:28" hidden="1" x14ac:dyDescent="0.2">
      <c r="A832" s="2" t="s">
        <v>389</v>
      </c>
      <c r="B832" t="s">
        <v>390</v>
      </c>
      <c r="F832">
        <v>57</v>
      </c>
      <c r="H832">
        <v>0</v>
      </c>
      <c r="I832">
        <v>0</v>
      </c>
      <c r="J832" t="s">
        <v>80</v>
      </c>
      <c r="K832" s="1">
        <v>43316</v>
      </c>
      <c r="L832" t="s">
        <v>35</v>
      </c>
      <c r="M832" t="s">
        <v>210</v>
      </c>
    </row>
    <row r="833" spans="1:28" hidden="1" x14ac:dyDescent="0.2">
      <c r="A833" t="s">
        <v>1640</v>
      </c>
      <c r="B833" t="s">
        <v>237</v>
      </c>
    </row>
    <row r="834" spans="1:28" hidden="1" x14ac:dyDescent="0.2">
      <c r="A834" t="s">
        <v>2129</v>
      </c>
      <c r="B834" t="s">
        <v>2130</v>
      </c>
      <c r="N834" s="1">
        <v>44197</v>
      </c>
      <c r="O834">
        <v>-19</v>
      </c>
      <c r="P834" t="s">
        <v>2403</v>
      </c>
      <c r="Q834" t="s">
        <v>2403</v>
      </c>
      <c r="R834">
        <v>30</v>
      </c>
      <c r="S834">
        <v>-23.02</v>
      </c>
      <c r="T834">
        <v>-18.16</v>
      </c>
      <c r="U834">
        <v>-10.47</v>
      </c>
      <c r="V834">
        <v>-10.83</v>
      </c>
      <c r="X834">
        <v>32</v>
      </c>
      <c r="Y834">
        <v>0</v>
      </c>
      <c r="Z834">
        <v>-11.12</v>
      </c>
      <c r="AA834">
        <v>-11.7</v>
      </c>
      <c r="AB834">
        <v>-48.09</v>
      </c>
    </row>
    <row r="835" spans="1:28" hidden="1" x14ac:dyDescent="0.2">
      <c r="A835" t="s">
        <v>86</v>
      </c>
      <c r="B835" t="s">
        <v>87</v>
      </c>
      <c r="L835" t="s">
        <v>43</v>
      </c>
      <c r="M835" t="s">
        <v>88</v>
      </c>
    </row>
    <row r="836" spans="1:28" hidden="1" x14ac:dyDescent="0.2">
      <c r="A836" t="s">
        <v>898</v>
      </c>
      <c r="B836" t="s">
        <v>899</v>
      </c>
      <c r="L836" t="s">
        <v>39</v>
      </c>
      <c r="M836" t="s">
        <v>900</v>
      </c>
    </row>
    <row r="837" spans="1:28" hidden="1" x14ac:dyDescent="0.2">
      <c r="A837" t="s">
        <v>267</v>
      </c>
      <c r="B837" t="s">
        <v>268</v>
      </c>
      <c r="F837">
        <v>83</v>
      </c>
      <c r="H837">
        <v>1</v>
      </c>
      <c r="I837">
        <v>0</v>
      </c>
      <c r="J837" t="s">
        <v>53</v>
      </c>
      <c r="K837" s="1">
        <v>43316</v>
      </c>
      <c r="L837" t="s">
        <v>99</v>
      </c>
      <c r="M837" t="s">
        <v>269</v>
      </c>
    </row>
    <row r="838" spans="1:28" hidden="1" x14ac:dyDescent="0.2">
      <c r="A838" t="s">
        <v>1826</v>
      </c>
      <c r="B838" t="s">
        <v>1827</v>
      </c>
      <c r="F838">
        <v>45</v>
      </c>
      <c r="H838">
        <v>1</v>
      </c>
      <c r="I838">
        <v>0</v>
      </c>
      <c r="K838" s="1">
        <v>43316</v>
      </c>
      <c r="L838" t="s">
        <v>43</v>
      </c>
      <c r="M838" t="s">
        <v>88</v>
      </c>
      <c r="N838" s="1">
        <v>44193</v>
      </c>
      <c r="Q838">
        <v>0.5</v>
      </c>
      <c r="R838">
        <v>2.77</v>
      </c>
      <c r="S838">
        <v>14.33</v>
      </c>
      <c r="T838">
        <v>17.45</v>
      </c>
      <c r="U838">
        <v>22.76</v>
      </c>
      <c r="V838">
        <v>20.64</v>
      </c>
      <c r="Y838">
        <v>3.4</v>
      </c>
      <c r="Z838">
        <v>2.39</v>
      </c>
      <c r="AA838">
        <v>2.76</v>
      </c>
      <c r="AB838">
        <v>9.64</v>
      </c>
    </row>
    <row r="839" spans="1:28" hidden="1" x14ac:dyDescent="0.2">
      <c r="A839" t="s">
        <v>41</v>
      </c>
      <c r="B839" t="s">
        <v>42</v>
      </c>
      <c r="L839" t="s">
        <v>43</v>
      </c>
      <c r="M839" t="s">
        <v>44</v>
      </c>
    </row>
    <row r="840" spans="1:28" hidden="1" x14ac:dyDescent="0.2">
      <c r="A840" t="s">
        <v>1830</v>
      </c>
      <c r="B840" t="s">
        <v>1831</v>
      </c>
      <c r="H840">
        <v>1</v>
      </c>
      <c r="I840">
        <v>0</v>
      </c>
      <c r="K840" s="1">
        <v>43316</v>
      </c>
      <c r="L840" t="s">
        <v>226</v>
      </c>
      <c r="M840" t="s">
        <v>243</v>
      </c>
    </row>
    <row r="841" spans="1:28" hidden="1" x14ac:dyDescent="0.2">
      <c r="A841" s="2" t="s">
        <v>1490</v>
      </c>
      <c r="B841" t="s">
        <v>1491</v>
      </c>
      <c r="F841">
        <v>27</v>
      </c>
      <c r="H841">
        <v>0</v>
      </c>
      <c r="I841">
        <v>0</v>
      </c>
      <c r="K841" s="1">
        <v>43316</v>
      </c>
      <c r="L841" t="s">
        <v>43</v>
      </c>
      <c r="M841" t="s">
        <v>47</v>
      </c>
    </row>
    <row r="842" spans="1:28" hidden="1" x14ac:dyDescent="0.2">
      <c r="A842" t="s">
        <v>1834</v>
      </c>
      <c r="B842" t="s">
        <v>1835</v>
      </c>
      <c r="F842">
        <v>37</v>
      </c>
      <c r="H842">
        <v>1</v>
      </c>
      <c r="I842">
        <v>0</v>
      </c>
      <c r="K842" s="1">
        <v>43316</v>
      </c>
      <c r="L842" t="s">
        <v>226</v>
      </c>
      <c r="M842" t="s">
        <v>243</v>
      </c>
      <c r="N842" s="1">
        <v>44193</v>
      </c>
      <c r="Q842">
        <v>0.27</v>
      </c>
      <c r="R842">
        <v>46.46</v>
      </c>
      <c r="S842">
        <v>-24.12</v>
      </c>
      <c r="T842">
        <v>-21.34</v>
      </c>
      <c r="U842">
        <v>-15.62</v>
      </c>
      <c r="V842">
        <v>-7.11</v>
      </c>
      <c r="Y842">
        <v>0</v>
      </c>
      <c r="Z842">
        <v>-134.04</v>
      </c>
      <c r="AA842">
        <v>-33.44</v>
      </c>
      <c r="AB842">
        <v>-85.42</v>
      </c>
    </row>
    <row r="843" spans="1:28" hidden="1" x14ac:dyDescent="0.2">
      <c r="A843" t="s">
        <v>1836</v>
      </c>
      <c r="B843" t="s">
        <v>1837</v>
      </c>
      <c r="L843" t="s">
        <v>39</v>
      </c>
      <c r="M843" t="s">
        <v>329</v>
      </c>
      <c r="N843" s="1">
        <v>44193</v>
      </c>
      <c r="Q843">
        <v>4.29</v>
      </c>
      <c r="R843">
        <v>-51.18</v>
      </c>
      <c r="S843">
        <v>-35.72</v>
      </c>
      <c r="T843">
        <v>-9.2100000000000009</v>
      </c>
      <c r="U843">
        <v>-1.96</v>
      </c>
      <c r="V843">
        <v>-3.76</v>
      </c>
      <c r="Y843">
        <v>0</v>
      </c>
    </row>
    <row r="844" spans="1:28" hidden="1" x14ac:dyDescent="0.2">
      <c r="A844" t="s">
        <v>1838</v>
      </c>
      <c r="B844" t="s">
        <v>1839</v>
      </c>
      <c r="L844" t="s">
        <v>30</v>
      </c>
      <c r="M844" t="s">
        <v>1573</v>
      </c>
      <c r="N844" s="1">
        <v>44193</v>
      </c>
      <c r="Q844">
        <v>2.12</v>
      </c>
      <c r="R844">
        <v>-0.02</v>
      </c>
      <c r="S844">
        <v>13.08</v>
      </c>
      <c r="T844">
        <v>16.89</v>
      </c>
      <c r="U844">
        <v>10.11</v>
      </c>
      <c r="V844">
        <v>10.23</v>
      </c>
      <c r="Y844">
        <v>0</v>
      </c>
      <c r="Z844">
        <v>4.4400000000000004</v>
      </c>
      <c r="AA844">
        <v>5.0199999999999996</v>
      </c>
      <c r="AB844">
        <v>8.01</v>
      </c>
    </row>
    <row r="845" spans="1:28" hidden="1" x14ac:dyDescent="0.2">
      <c r="A845" t="s">
        <v>1840</v>
      </c>
      <c r="B845" t="s">
        <v>1841</v>
      </c>
      <c r="H845">
        <v>1</v>
      </c>
      <c r="I845">
        <v>0</v>
      </c>
      <c r="K845" s="1">
        <v>43316</v>
      </c>
      <c r="L845" t="s">
        <v>39</v>
      </c>
      <c r="M845" t="s">
        <v>1842</v>
      </c>
      <c r="N845" s="1">
        <v>44193</v>
      </c>
      <c r="Q845">
        <v>1.7</v>
      </c>
      <c r="R845">
        <v>8.58</v>
      </c>
      <c r="S845">
        <v>14.4</v>
      </c>
      <c r="T845">
        <v>18.260000000000002</v>
      </c>
      <c r="U845">
        <v>13.56</v>
      </c>
      <c r="V845">
        <v>10.32</v>
      </c>
      <c r="Y845">
        <v>3</v>
      </c>
      <c r="Z845">
        <v>10.050000000000001</v>
      </c>
      <c r="AA845">
        <v>4.49</v>
      </c>
      <c r="AB845">
        <v>12.49</v>
      </c>
    </row>
    <row r="846" spans="1:28" hidden="1" x14ac:dyDescent="0.2">
      <c r="A846" t="s">
        <v>66</v>
      </c>
      <c r="B846" t="s">
        <v>67</v>
      </c>
      <c r="F846">
        <v>71</v>
      </c>
      <c r="H846">
        <v>1</v>
      </c>
      <c r="I846">
        <v>0</v>
      </c>
      <c r="J846" t="s">
        <v>68</v>
      </c>
      <c r="K846" s="1">
        <v>43316</v>
      </c>
      <c r="L846" t="s">
        <v>39</v>
      </c>
      <c r="M846" t="s">
        <v>60</v>
      </c>
    </row>
    <row r="847" spans="1:28" hidden="1" x14ac:dyDescent="0.2">
      <c r="A847" t="s">
        <v>1585</v>
      </c>
      <c r="B847" t="s">
        <v>1586</v>
      </c>
      <c r="F847">
        <v>40</v>
      </c>
      <c r="H847">
        <v>1</v>
      </c>
      <c r="I847">
        <v>0</v>
      </c>
      <c r="K847" s="1">
        <v>43316</v>
      </c>
      <c r="L847" t="s">
        <v>1587</v>
      </c>
      <c r="M847" t="s">
        <v>1588</v>
      </c>
    </row>
    <row r="848" spans="1:28" hidden="1" x14ac:dyDescent="0.2">
      <c r="A848" t="s">
        <v>1847</v>
      </c>
      <c r="B848" t="s">
        <v>1848</v>
      </c>
      <c r="N848" s="1">
        <v>44193</v>
      </c>
      <c r="Q848">
        <v>2.4900000000000002</v>
      </c>
      <c r="R848">
        <v>-49.32</v>
      </c>
      <c r="S848">
        <v>-15.29</v>
      </c>
      <c r="T848">
        <v>-13.32</v>
      </c>
      <c r="U848" t="s">
        <v>32</v>
      </c>
      <c r="V848" t="s">
        <v>32</v>
      </c>
      <c r="Y848">
        <v>0</v>
      </c>
      <c r="Z848">
        <v>-48.89</v>
      </c>
      <c r="AA848">
        <v>-15.81</v>
      </c>
      <c r="AB848">
        <v>-121.4</v>
      </c>
    </row>
    <row r="849" spans="1:28" hidden="1" x14ac:dyDescent="0.2">
      <c r="A849" t="s">
        <v>1849</v>
      </c>
      <c r="B849" t="s">
        <v>1850</v>
      </c>
      <c r="F849">
        <v>41</v>
      </c>
      <c r="G849">
        <v>3.5</v>
      </c>
      <c r="H849">
        <v>1</v>
      </c>
      <c r="I849">
        <v>0</v>
      </c>
      <c r="J849" t="s">
        <v>53</v>
      </c>
      <c r="K849" s="1">
        <v>43716</v>
      </c>
      <c r="L849" t="s">
        <v>35</v>
      </c>
      <c r="M849" t="s">
        <v>129</v>
      </c>
      <c r="N849" s="1">
        <v>44193</v>
      </c>
      <c r="Q849">
        <v>5.05</v>
      </c>
      <c r="R849">
        <v>-12.8</v>
      </c>
      <c r="S849">
        <v>3.01</v>
      </c>
      <c r="T849">
        <v>10.93</v>
      </c>
      <c r="U849">
        <v>7.98</v>
      </c>
      <c r="V849">
        <v>6.85</v>
      </c>
      <c r="Y849">
        <v>0</v>
      </c>
      <c r="Z849">
        <v>13.52</v>
      </c>
      <c r="AA849">
        <v>5.53</v>
      </c>
      <c r="AB849">
        <v>13.84</v>
      </c>
    </row>
    <row r="850" spans="1:28" hidden="1" x14ac:dyDescent="0.2">
      <c r="A850" t="s">
        <v>1851</v>
      </c>
      <c r="B850" t="s">
        <v>1852</v>
      </c>
      <c r="L850" t="s">
        <v>43</v>
      </c>
      <c r="M850" t="s">
        <v>137</v>
      </c>
      <c r="N850" s="1">
        <v>44193</v>
      </c>
      <c r="Q850">
        <v>0.99</v>
      </c>
      <c r="R850">
        <v>26.76</v>
      </c>
      <c r="S850">
        <v>27.14</v>
      </c>
      <c r="T850">
        <v>11.43</v>
      </c>
      <c r="U850">
        <v>11.56</v>
      </c>
      <c r="V850">
        <v>4.09</v>
      </c>
      <c r="Y850">
        <v>0.4</v>
      </c>
      <c r="Z850">
        <v>-0.64</v>
      </c>
      <c r="AA850">
        <v>-1.64</v>
      </c>
      <c r="AB850">
        <v>-7.45</v>
      </c>
    </row>
    <row r="851" spans="1:28" hidden="1" x14ac:dyDescent="0.2">
      <c r="A851" t="s">
        <v>249</v>
      </c>
      <c r="B851" t="s">
        <v>250</v>
      </c>
      <c r="J851" t="s">
        <v>68</v>
      </c>
      <c r="L851" t="s">
        <v>99</v>
      </c>
      <c r="M851" t="s">
        <v>251</v>
      </c>
    </row>
    <row r="852" spans="1:28" hidden="1" x14ac:dyDescent="0.2">
      <c r="A852" t="s">
        <v>1855</v>
      </c>
      <c r="B852" t="s">
        <v>1856</v>
      </c>
      <c r="L852" t="s">
        <v>35</v>
      </c>
      <c r="M852" t="s">
        <v>326</v>
      </c>
      <c r="N852" s="1">
        <v>44193</v>
      </c>
      <c r="R852">
        <v>-19.21</v>
      </c>
      <c r="S852">
        <v>-16.5</v>
      </c>
      <c r="T852">
        <v>-3.33</v>
      </c>
      <c r="U852">
        <v>-2.85</v>
      </c>
      <c r="V852">
        <v>-0.78</v>
      </c>
      <c r="Y852">
        <v>3</v>
      </c>
      <c r="Z852">
        <v>-17.96</v>
      </c>
      <c r="AA852">
        <v>-0.45</v>
      </c>
      <c r="AB852">
        <v>-7.64</v>
      </c>
    </row>
    <row r="853" spans="1:28" hidden="1" x14ac:dyDescent="0.2">
      <c r="A853" t="s">
        <v>735</v>
      </c>
      <c r="B853" t="s">
        <v>736</v>
      </c>
      <c r="L853" t="s">
        <v>95</v>
      </c>
      <c r="M853" t="s">
        <v>117</v>
      </c>
      <c r="N853" s="1">
        <v>44197</v>
      </c>
      <c r="O853">
        <v>140</v>
      </c>
      <c r="P853" t="s">
        <v>2403</v>
      </c>
      <c r="Q853" t="s">
        <v>2403</v>
      </c>
      <c r="R853">
        <v>-6.86</v>
      </c>
      <c r="S853">
        <v>-1.1299999999999999</v>
      </c>
      <c r="T853">
        <v>9.15</v>
      </c>
      <c r="U853">
        <v>10.76</v>
      </c>
      <c r="V853">
        <v>1.49</v>
      </c>
      <c r="X853">
        <v>23</v>
      </c>
      <c r="Y853">
        <v>0</v>
      </c>
      <c r="Z853">
        <v>2.0099999999999998</v>
      </c>
      <c r="AA853">
        <v>3.64</v>
      </c>
      <c r="AB853">
        <v>8.5399999999999991</v>
      </c>
    </row>
    <row r="854" spans="1:28" hidden="1" x14ac:dyDescent="0.2">
      <c r="A854" t="s">
        <v>81</v>
      </c>
      <c r="B854" t="s">
        <v>82</v>
      </c>
      <c r="F854">
        <v>55</v>
      </c>
      <c r="H854">
        <v>1</v>
      </c>
      <c r="I854">
        <v>0</v>
      </c>
      <c r="J854" t="s">
        <v>68</v>
      </c>
      <c r="K854" s="1">
        <v>43316</v>
      </c>
      <c r="L854" t="s">
        <v>39</v>
      </c>
      <c r="M854" t="s">
        <v>40</v>
      </c>
    </row>
    <row r="855" spans="1:28" hidden="1" x14ac:dyDescent="0.2">
      <c r="A855" t="s">
        <v>1861</v>
      </c>
      <c r="B855" t="s">
        <v>1862</v>
      </c>
      <c r="F855">
        <v>46</v>
      </c>
      <c r="H855">
        <v>1</v>
      </c>
      <c r="I855">
        <v>0</v>
      </c>
      <c r="K855" s="1">
        <v>43316</v>
      </c>
      <c r="L855" t="s">
        <v>43</v>
      </c>
      <c r="M855" t="s">
        <v>192</v>
      </c>
      <c r="N855" s="1">
        <v>44193</v>
      </c>
      <c r="R855">
        <v>-2.64</v>
      </c>
      <c r="S855">
        <v>-4.2</v>
      </c>
      <c r="T855">
        <v>1.43</v>
      </c>
      <c r="U855">
        <v>16.66</v>
      </c>
      <c r="V855">
        <v>10.41</v>
      </c>
      <c r="Y855">
        <v>0</v>
      </c>
    </row>
    <row r="856" spans="1:28" hidden="1" x14ac:dyDescent="0.2">
      <c r="A856" t="s">
        <v>1863</v>
      </c>
      <c r="B856" t="s">
        <v>1864</v>
      </c>
      <c r="F856">
        <v>69</v>
      </c>
      <c r="G856">
        <v>3.1</v>
      </c>
      <c r="J856" t="s">
        <v>68</v>
      </c>
      <c r="K856" s="1">
        <v>43716</v>
      </c>
      <c r="L856" t="s">
        <v>35</v>
      </c>
      <c r="M856" t="s">
        <v>235</v>
      </c>
      <c r="N856" s="1">
        <v>44193</v>
      </c>
      <c r="Q856">
        <v>2</v>
      </c>
      <c r="R856">
        <v>0.01</v>
      </c>
      <c r="S856">
        <v>0.17</v>
      </c>
      <c r="T856">
        <v>-1.87</v>
      </c>
      <c r="U856">
        <v>10.57</v>
      </c>
      <c r="V856">
        <v>11.21</v>
      </c>
      <c r="Y856">
        <v>0</v>
      </c>
      <c r="Z856">
        <v>33.659999999999997</v>
      </c>
      <c r="AA856">
        <v>0.89</v>
      </c>
      <c r="AB856">
        <v>10.36</v>
      </c>
    </row>
    <row r="857" spans="1:28" hidden="1" x14ac:dyDescent="0.2">
      <c r="A857" t="s">
        <v>1671</v>
      </c>
      <c r="B857" t="s">
        <v>1672</v>
      </c>
    </row>
    <row r="858" spans="1:28" hidden="1" x14ac:dyDescent="0.2">
      <c r="A858" s="2" t="s">
        <v>2389</v>
      </c>
      <c r="B858" t="s">
        <v>2390</v>
      </c>
      <c r="F858">
        <v>69</v>
      </c>
      <c r="H858">
        <v>1</v>
      </c>
      <c r="I858">
        <v>0</v>
      </c>
      <c r="K858" s="1">
        <v>43316</v>
      </c>
      <c r="L858" t="s">
        <v>26</v>
      </c>
      <c r="M858" t="s">
        <v>202</v>
      </c>
    </row>
    <row r="859" spans="1:28" hidden="1" x14ac:dyDescent="0.2">
      <c r="A859" t="s">
        <v>1869</v>
      </c>
      <c r="B859" t="s">
        <v>1870</v>
      </c>
      <c r="F859">
        <v>64</v>
      </c>
      <c r="H859">
        <v>0</v>
      </c>
      <c r="I859">
        <v>0</v>
      </c>
      <c r="K859" s="1">
        <v>43316</v>
      </c>
      <c r="L859" t="s">
        <v>35</v>
      </c>
      <c r="M859" t="s">
        <v>210</v>
      </c>
      <c r="N859" s="1">
        <v>44193</v>
      </c>
      <c r="Q859">
        <v>1.48</v>
      </c>
      <c r="R859">
        <v>8.36</v>
      </c>
      <c r="S859">
        <v>1.1599999999999999</v>
      </c>
      <c r="T859">
        <v>10.53</v>
      </c>
      <c r="U859">
        <v>12.59</v>
      </c>
      <c r="V859">
        <v>9.4</v>
      </c>
      <c r="Y859">
        <v>0</v>
      </c>
      <c r="Z859">
        <v>27.61</v>
      </c>
      <c r="AA859">
        <v>0.8</v>
      </c>
      <c r="AB859">
        <v>12.52</v>
      </c>
    </row>
    <row r="860" spans="1:28" hidden="1" x14ac:dyDescent="0.2">
      <c r="A860" t="s">
        <v>1871</v>
      </c>
      <c r="B860" t="s">
        <v>1872</v>
      </c>
      <c r="L860" t="s">
        <v>43</v>
      </c>
      <c r="M860" t="s">
        <v>1097</v>
      </c>
      <c r="N860" s="1">
        <v>44193</v>
      </c>
      <c r="Q860">
        <v>1.54</v>
      </c>
      <c r="R860">
        <v>8.36</v>
      </c>
      <c r="S860">
        <v>10.89</v>
      </c>
      <c r="T860">
        <v>14.65</v>
      </c>
      <c r="U860">
        <v>20.51</v>
      </c>
      <c r="V860">
        <v>13.37</v>
      </c>
      <c r="Y860">
        <v>1.5</v>
      </c>
      <c r="Z860">
        <v>13.62</v>
      </c>
      <c r="AA860">
        <v>3.41</v>
      </c>
      <c r="AB860">
        <v>26.26</v>
      </c>
    </row>
    <row r="861" spans="1:28" hidden="1" x14ac:dyDescent="0.2">
      <c r="A861" t="s">
        <v>1677</v>
      </c>
      <c r="B861" t="s">
        <v>1678</v>
      </c>
    </row>
    <row r="862" spans="1:28" hidden="1" x14ac:dyDescent="0.2">
      <c r="A862" t="s">
        <v>1685</v>
      </c>
      <c r="B862" t="s">
        <v>1686</v>
      </c>
    </row>
    <row r="863" spans="1:28" hidden="1" x14ac:dyDescent="0.2">
      <c r="A863" t="s">
        <v>1877</v>
      </c>
      <c r="B863" t="s">
        <v>1878</v>
      </c>
      <c r="L863" t="s">
        <v>39</v>
      </c>
      <c r="M863" t="s">
        <v>1141</v>
      </c>
      <c r="N863" s="1">
        <v>44193</v>
      </c>
      <c r="Q863">
        <v>0.28000000000000003</v>
      </c>
      <c r="R863">
        <v>-26</v>
      </c>
      <c r="S863">
        <v>-9.5399999999999991</v>
      </c>
      <c r="T863">
        <v>1.02</v>
      </c>
      <c r="U863">
        <v>4.68</v>
      </c>
      <c r="V863">
        <v>4.5599999999999996</v>
      </c>
      <c r="Y863">
        <v>0</v>
      </c>
      <c r="Z863">
        <v>2.78</v>
      </c>
      <c r="AA863">
        <v>3.24</v>
      </c>
      <c r="AB863">
        <v>5.57</v>
      </c>
    </row>
    <row r="864" spans="1:28" hidden="1" x14ac:dyDescent="0.2">
      <c r="A864" s="2" t="s">
        <v>2391</v>
      </c>
      <c r="B864" t="s">
        <v>2392</v>
      </c>
      <c r="H864">
        <v>1</v>
      </c>
      <c r="I864">
        <v>0</v>
      </c>
      <c r="K864" s="1">
        <v>43316</v>
      </c>
      <c r="L864" t="s">
        <v>95</v>
      </c>
      <c r="M864" t="s">
        <v>741</v>
      </c>
    </row>
    <row r="865" spans="1:28" hidden="1" x14ac:dyDescent="0.2">
      <c r="A865" t="s">
        <v>1881</v>
      </c>
      <c r="B865" t="s">
        <v>1882</v>
      </c>
      <c r="H865">
        <v>1</v>
      </c>
      <c r="I865">
        <v>0</v>
      </c>
      <c r="K865" s="1">
        <v>43316</v>
      </c>
      <c r="L865" t="s">
        <v>43</v>
      </c>
      <c r="M865" t="s">
        <v>405</v>
      </c>
      <c r="N865" s="1">
        <v>44193</v>
      </c>
      <c r="Q865">
        <v>1.42</v>
      </c>
      <c r="R865">
        <v>16.04</v>
      </c>
      <c r="S865">
        <v>-0.73</v>
      </c>
      <c r="T865">
        <v>2.38</v>
      </c>
      <c r="U865">
        <v>7.4</v>
      </c>
      <c r="V865">
        <v>4.5</v>
      </c>
      <c r="Y865">
        <v>3.4</v>
      </c>
    </row>
    <row r="866" spans="1:28" hidden="1" x14ac:dyDescent="0.2">
      <c r="A866" t="s">
        <v>788</v>
      </c>
      <c r="B866" t="s">
        <v>789</v>
      </c>
      <c r="H866">
        <v>1</v>
      </c>
      <c r="I866">
        <v>0</v>
      </c>
      <c r="K866" s="1">
        <v>43316</v>
      </c>
      <c r="L866" t="s">
        <v>99</v>
      </c>
      <c r="M866" t="s">
        <v>481</v>
      </c>
      <c r="N866" s="1">
        <v>44197</v>
      </c>
      <c r="O866">
        <v>251</v>
      </c>
      <c r="P866" t="s">
        <v>2403</v>
      </c>
      <c r="Q866" t="s">
        <v>32</v>
      </c>
      <c r="R866">
        <v>3.88</v>
      </c>
      <c r="S866">
        <v>-6.19</v>
      </c>
      <c r="T866">
        <v>-5.44</v>
      </c>
      <c r="U866" t="s">
        <v>32</v>
      </c>
      <c r="V866" t="s">
        <v>32</v>
      </c>
      <c r="X866" t="s">
        <v>32</v>
      </c>
      <c r="Y866">
        <v>0.9</v>
      </c>
      <c r="Z866">
        <v>4.0199999999999996</v>
      </c>
      <c r="AA866">
        <v>9.0399999999999991</v>
      </c>
      <c r="AB866">
        <v>36.65</v>
      </c>
    </row>
    <row r="867" spans="1:28" hidden="1" x14ac:dyDescent="0.2">
      <c r="A867" t="s">
        <v>1052</v>
      </c>
      <c r="B867" t="s">
        <v>1053</v>
      </c>
      <c r="J867" t="s">
        <v>68</v>
      </c>
      <c r="L867" t="s">
        <v>95</v>
      </c>
      <c r="M867" t="s">
        <v>232</v>
      </c>
    </row>
    <row r="868" spans="1:28" hidden="1" x14ac:dyDescent="0.2">
      <c r="A868" t="s">
        <v>1727</v>
      </c>
      <c r="B868" t="s">
        <v>1728</v>
      </c>
    </row>
    <row r="869" spans="1:28" hidden="1" x14ac:dyDescent="0.2">
      <c r="A869" t="s">
        <v>256</v>
      </c>
      <c r="B869" t="s">
        <v>257</v>
      </c>
      <c r="F869">
        <v>36</v>
      </c>
      <c r="H869">
        <v>0</v>
      </c>
      <c r="I869">
        <v>0</v>
      </c>
      <c r="K869" s="1">
        <v>43316</v>
      </c>
      <c r="L869" t="s">
        <v>99</v>
      </c>
      <c r="M869" t="s">
        <v>258</v>
      </c>
    </row>
    <row r="870" spans="1:28" hidden="1" x14ac:dyDescent="0.2">
      <c r="A870" t="s">
        <v>1891</v>
      </c>
      <c r="B870" t="s">
        <v>1892</v>
      </c>
      <c r="L870" t="s">
        <v>226</v>
      </c>
      <c r="M870" t="s">
        <v>227</v>
      </c>
      <c r="N870" s="1">
        <v>44193</v>
      </c>
      <c r="Q870">
        <v>7.75</v>
      </c>
      <c r="R870">
        <v>-25.15</v>
      </c>
      <c r="S870">
        <v>-19.420000000000002</v>
      </c>
      <c r="T870">
        <v>-3.12</v>
      </c>
      <c r="U870">
        <v>0.2</v>
      </c>
      <c r="V870">
        <v>2.34</v>
      </c>
      <c r="Y870">
        <v>0</v>
      </c>
      <c r="Z870">
        <v>-0.83</v>
      </c>
      <c r="AA870">
        <v>-1.39</v>
      </c>
      <c r="AB870">
        <v>-2.15</v>
      </c>
    </row>
    <row r="871" spans="1:28" hidden="1" x14ac:dyDescent="0.2">
      <c r="A871" t="s">
        <v>496</v>
      </c>
      <c r="B871" t="s">
        <v>497</v>
      </c>
      <c r="F871">
        <v>13</v>
      </c>
      <c r="H871">
        <v>1</v>
      </c>
      <c r="I871">
        <v>0</v>
      </c>
      <c r="J871" t="s">
        <v>68</v>
      </c>
      <c r="K871" s="1">
        <v>43316</v>
      </c>
      <c r="L871" t="s">
        <v>43</v>
      </c>
      <c r="M871" t="s">
        <v>488</v>
      </c>
    </row>
    <row r="872" spans="1:28" hidden="1" x14ac:dyDescent="0.2">
      <c r="A872" t="s">
        <v>1754</v>
      </c>
      <c r="B872" t="s">
        <v>1755</v>
      </c>
    </row>
    <row r="873" spans="1:28" hidden="1" x14ac:dyDescent="0.2">
      <c r="A873" t="s">
        <v>1137</v>
      </c>
      <c r="B873" t="s">
        <v>1138</v>
      </c>
      <c r="F873">
        <v>29</v>
      </c>
      <c r="H873">
        <v>1</v>
      </c>
      <c r="I873">
        <v>0</v>
      </c>
      <c r="K873" s="1">
        <v>43316</v>
      </c>
      <c r="L873" t="s">
        <v>26</v>
      </c>
      <c r="M873" t="s">
        <v>759</v>
      </c>
    </row>
    <row r="874" spans="1:28" hidden="1" x14ac:dyDescent="0.2">
      <c r="A874" t="s">
        <v>1901</v>
      </c>
      <c r="B874" t="s">
        <v>1902</v>
      </c>
      <c r="L874" t="s">
        <v>95</v>
      </c>
      <c r="M874" t="s">
        <v>232</v>
      </c>
      <c r="N874" s="1">
        <v>44193</v>
      </c>
      <c r="R874">
        <v>10.029999999999999</v>
      </c>
      <c r="S874">
        <v>-25.88</v>
      </c>
      <c r="T874">
        <v>0.45</v>
      </c>
      <c r="U874">
        <v>-3.07</v>
      </c>
      <c r="V874">
        <v>5.03</v>
      </c>
      <c r="Y874">
        <v>0</v>
      </c>
      <c r="Z874">
        <v>-4.67</v>
      </c>
      <c r="AA874">
        <v>-1.42</v>
      </c>
      <c r="AB874">
        <v>-3.78</v>
      </c>
    </row>
    <row r="875" spans="1:28" hidden="1" x14ac:dyDescent="0.2">
      <c r="A875" t="s">
        <v>1903</v>
      </c>
      <c r="B875" t="s">
        <v>1904</v>
      </c>
      <c r="H875">
        <v>1</v>
      </c>
      <c r="I875">
        <v>0</v>
      </c>
      <c r="K875" s="1">
        <v>43316</v>
      </c>
      <c r="L875" t="s">
        <v>43</v>
      </c>
      <c r="M875" t="s">
        <v>351</v>
      </c>
      <c r="N875" s="1">
        <v>44193</v>
      </c>
      <c r="R875">
        <v>-10.93</v>
      </c>
      <c r="S875">
        <v>6.32</v>
      </c>
      <c r="T875">
        <v>9.75</v>
      </c>
      <c r="U875">
        <v>15.07</v>
      </c>
      <c r="V875">
        <v>-0.27</v>
      </c>
      <c r="Y875">
        <v>1.4</v>
      </c>
    </row>
    <row r="876" spans="1:28" hidden="1" x14ac:dyDescent="0.2">
      <c r="A876" t="s">
        <v>1905</v>
      </c>
      <c r="B876" t="s">
        <v>1906</v>
      </c>
      <c r="H876">
        <v>0</v>
      </c>
      <c r="I876">
        <v>0</v>
      </c>
      <c r="J876" t="s">
        <v>53</v>
      </c>
      <c r="K876" s="1">
        <v>43316</v>
      </c>
      <c r="L876" t="s">
        <v>43</v>
      </c>
      <c r="M876" t="s">
        <v>507</v>
      </c>
      <c r="N876" s="1">
        <v>44193</v>
      </c>
      <c r="Q876">
        <v>3.51</v>
      </c>
      <c r="R876">
        <v>-26.72</v>
      </c>
      <c r="S876">
        <v>-15.77</v>
      </c>
      <c r="T876">
        <v>-3.65</v>
      </c>
      <c r="U876">
        <v>14.19</v>
      </c>
      <c r="V876" t="s">
        <v>32</v>
      </c>
      <c r="Y876">
        <v>0</v>
      </c>
    </row>
    <row r="877" spans="1:28" hidden="1" x14ac:dyDescent="0.2">
      <c r="A877" t="s">
        <v>1907</v>
      </c>
      <c r="B877" t="s">
        <v>1908</v>
      </c>
      <c r="L877" t="s">
        <v>113</v>
      </c>
      <c r="M877" t="s">
        <v>126</v>
      </c>
      <c r="N877" s="1">
        <v>44193</v>
      </c>
      <c r="Q877">
        <v>5.13</v>
      </c>
      <c r="R877">
        <v>-29.1</v>
      </c>
      <c r="S877">
        <v>-6.87</v>
      </c>
      <c r="T877">
        <v>2.68</v>
      </c>
      <c r="U877">
        <v>1.76</v>
      </c>
      <c r="V877">
        <v>5.77</v>
      </c>
      <c r="Y877">
        <v>0</v>
      </c>
      <c r="Z877">
        <v>8.39</v>
      </c>
      <c r="AA877">
        <v>2.0499999999999998</v>
      </c>
      <c r="AB877">
        <v>8.3699999999999992</v>
      </c>
    </row>
    <row r="878" spans="1:28" hidden="1" x14ac:dyDescent="0.2">
      <c r="A878" t="s">
        <v>1909</v>
      </c>
      <c r="B878" t="s">
        <v>1910</v>
      </c>
      <c r="H878">
        <v>1</v>
      </c>
      <c r="I878">
        <v>0</v>
      </c>
      <c r="K878" s="1">
        <v>43316</v>
      </c>
      <c r="L878" t="s">
        <v>99</v>
      </c>
      <c r="M878" t="s">
        <v>457</v>
      </c>
      <c r="N878" s="1">
        <v>44193</v>
      </c>
      <c r="Q878">
        <v>3.04</v>
      </c>
      <c r="R878">
        <v>15.33</v>
      </c>
      <c r="S878">
        <v>0.31</v>
      </c>
      <c r="T878">
        <v>1.17</v>
      </c>
      <c r="U878">
        <v>8.09</v>
      </c>
      <c r="V878">
        <v>8.6999999999999993</v>
      </c>
      <c r="Y878">
        <v>14.7</v>
      </c>
      <c r="Z878">
        <v>10.87</v>
      </c>
      <c r="AA878">
        <v>5.2</v>
      </c>
      <c r="AB878">
        <v>10.56</v>
      </c>
    </row>
    <row r="879" spans="1:28" hidden="1" x14ac:dyDescent="0.2">
      <c r="A879" t="s">
        <v>1911</v>
      </c>
      <c r="B879" t="s">
        <v>1912</v>
      </c>
      <c r="N879" s="1">
        <v>44193</v>
      </c>
      <c r="Q879">
        <v>5.07</v>
      </c>
      <c r="R879">
        <v>-8.7799999999999994</v>
      </c>
      <c r="S879">
        <v>-4.03</v>
      </c>
      <c r="T879">
        <v>4.93</v>
      </c>
      <c r="U879">
        <v>2.41</v>
      </c>
      <c r="V879">
        <v>6.98</v>
      </c>
      <c r="Y879">
        <v>0</v>
      </c>
      <c r="Z879">
        <v>12.56</v>
      </c>
      <c r="AA879">
        <v>4.2699999999999996</v>
      </c>
      <c r="AB879">
        <v>10.85</v>
      </c>
    </row>
    <row r="880" spans="1:28" hidden="1" x14ac:dyDescent="0.2">
      <c r="A880" t="s">
        <v>1913</v>
      </c>
      <c r="B880" t="s">
        <v>1914</v>
      </c>
      <c r="H880">
        <v>1</v>
      </c>
      <c r="I880">
        <v>0</v>
      </c>
      <c r="K880" s="1">
        <v>43316</v>
      </c>
      <c r="L880" t="s">
        <v>71</v>
      </c>
      <c r="M880" t="s">
        <v>947</v>
      </c>
      <c r="N880" s="1">
        <v>44193</v>
      </c>
      <c r="Q880">
        <v>11.3</v>
      </c>
      <c r="R880">
        <v>-24.49</v>
      </c>
      <c r="S880">
        <v>-18.22</v>
      </c>
      <c r="T880">
        <v>-12.88</v>
      </c>
      <c r="U880">
        <v>-1.64</v>
      </c>
      <c r="V880">
        <v>3.61</v>
      </c>
      <c r="Y880">
        <v>0</v>
      </c>
      <c r="Z880">
        <v>-12.34</v>
      </c>
      <c r="AA880">
        <v>-2.19</v>
      </c>
      <c r="AB880">
        <v>-12.25</v>
      </c>
    </row>
    <row r="881" spans="1:28" hidden="1" x14ac:dyDescent="0.2">
      <c r="A881" t="s">
        <v>2176</v>
      </c>
      <c r="B881" t="s">
        <v>2177</v>
      </c>
      <c r="N881" s="1">
        <v>44197</v>
      </c>
      <c r="O881">
        <v>105</v>
      </c>
      <c r="P881" t="s">
        <v>2403</v>
      </c>
      <c r="Q881" t="s">
        <v>32</v>
      </c>
      <c r="R881">
        <v>-16.79</v>
      </c>
      <c r="S881">
        <v>-1.7</v>
      </c>
      <c r="T881">
        <v>3.53</v>
      </c>
      <c r="U881">
        <v>18.350000000000001</v>
      </c>
      <c r="V881">
        <v>13.89</v>
      </c>
      <c r="X881" t="s">
        <v>32</v>
      </c>
      <c r="Y881">
        <v>0</v>
      </c>
      <c r="Z881">
        <v>2.2799999999999998</v>
      </c>
      <c r="AA881">
        <v>2.04</v>
      </c>
      <c r="AB881">
        <v>4.58</v>
      </c>
    </row>
    <row r="882" spans="1:28" hidden="1" x14ac:dyDescent="0.2">
      <c r="A882" t="s">
        <v>1917</v>
      </c>
      <c r="B882" t="s">
        <v>1918</v>
      </c>
      <c r="H882">
        <v>1</v>
      </c>
      <c r="I882">
        <v>0</v>
      </c>
      <c r="K882" s="1">
        <v>43316</v>
      </c>
      <c r="L882" t="s">
        <v>35</v>
      </c>
      <c r="M882" t="s">
        <v>106</v>
      </c>
      <c r="N882" s="1">
        <v>44193</v>
      </c>
      <c r="Q882">
        <v>1.1299999999999999</v>
      </c>
      <c r="R882">
        <v>36.450000000000003</v>
      </c>
      <c r="S882">
        <v>2.4900000000000002</v>
      </c>
      <c r="T882">
        <v>13.96</v>
      </c>
      <c r="U882">
        <v>9.15</v>
      </c>
      <c r="V882">
        <v>-3.64</v>
      </c>
      <c r="Y882">
        <v>0</v>
      </c>
      <c r="Z882">
        <v>31.06</v>
      </c>
      <c r="AA882">
        <v>1.87</v>
      </c>
      <c r="AB882">
        <v>25.2</v>
      </c>
    </row>
    <row r="883" spans="1:28" hidden="1" x14ac:dyDescent="0.2">
      <c r="A883" t="s">
        <v>531</v>
      </c>
      <c r="B883" t="s">
        <v>532</v>
      </c>
      <c r="L883" t="s">
        <v>26</v>
      </c>
      <c r="M883" t="s">
        <v>27</v>
      </c>
    </row>
    <row r="884" spans="1:28" hidden="1" x14ac:dyDescent="0.2">
      <c r="A884" t="s">
        <v>1921</v>
      </c>
      <c r="B884" t="s">
        <v>1922</v>
      </c>
      <c r="H884">
        <v>1</v>
      </c>
      <c r="I884">
        <v>0</v>
      </c>
      <c r="K884" s="1">
        <v>43316</v>
      </c>
      <c r="L884" t="s">
        <v>226</v>
      </c>
      <c r="M884" t="s">
        <v>386</v>
      </c>
      <c r="N884" s="1">
        <v>44193</v>
      </c>
      <c r="Q884">
        <v>41.14</v>
      </c>
      <c r="R884">
        <v>-70.05</v>
      </c>
      <c r="S884">
        <v>-38.78</v>
      </c>
      <c r="T884">
        <v>-12.64</v>
      </c>
      <c r="U884" t="s">
        <v>32</v>
      </c>
      <c r="V884" t="s">
        <v>32</v>
      </c>
      <c r="Y884">
        <v>0</v>
      </c>
      <c r="Z884">
        <v>-63.09</v>
      </c>
      <c r="AA884">
        <v>-9.1999999999999993</v>
      </c>
      <c r="AB884">
        <v>-26.65</v>
      </c>
    </row>
    <row r="885" spans="1:28" hidden="1" x14ac:dyDescent="0.2">
      <c r="A885" t="s">
        <v>1923</v>
      </c>
      <c r="B885" t="s">
        <v>1924</v>
      </c>
      <c r="F885">
        <v>48</v>
      </c>
      <c r="G885">
        <v>3.3</v>
      </c>
      <c r="H885">
        <v>1</v>
      </c>
      <c r="I885">
        <v>0</v>
      </c>
      <c r="K885" s="1">
        <v>43716</v>
      </c>
      <c r="L885" t="s">
        <v>39</v>
      </c>
      <c r="M885" t="s">
        <v>1925</v>
      </c>
      <c r="N885" s="1">
        <v>44193</v>
      </c>
      <c r="Q885">
        <v>2.54</v>
      </c>
      <c r="R885">
        <v>3.15</v>
      </c>
      <c r="S885">
        <v>1.3</v>
      </c>
      <c r="T885">
        <v>1.71</v>
      </c>
      <c r="U885">
        <v>13.08</v>
      </c>
      <c r="V885">
        <v>11.73</v>
      </c>
      <c r="Y885">
        <v>2.2999999999999998</v>
      </c>
      <c r="Z885">
        <v>15.44</v>
      </c>
      <c r="AA885">
        <v>9.92</v>
      </c>
      <c r="AB885">
        <v>17.010000000000002</v>
      </c>
    </row>
    <row r="886" spans="1:28" hidden="1" x14ac:dyDescent="0.2">
      <c r="A886" t="s">
        <v>1926</v>
      </c>
      <c r="B886" t="s">
        <v>1927</v>
      </c>
      <c r="F886">
        <v>86</v>
      </c>
      <c r="H886">
        <v>0</v>
      </c>
      <c r="I886">
        <v>0</v>
      </c>
      <c r="J886" t="s">
        <v>68</v>
      </c>
      <c r="K886" s="1">
        <v>43316</v>
      </c>
      <c r="L886" t="s">
        <v>95</v>
      </c>
      <c r="M886" t="s">
        <v>232</v>
      </c>
      <c r="N886" s="1">
        <v>44193</v>
      </c>
      <c r="R886">
        <v>221.27</v>
      </c>
      <c r="S886">
        <v>49.03</v>
      </c>
      <c r="T886" t="s">
        <v>32</v>
      </c>
      <c r="U886" t="s">
        <v>32</v>
      </c>
      <c r="V886" t="s">
        <v>32</v>
      </c>
      <c r="Y886">
        <v>0</v>
      </c>
      <c r="Z886">
        <v>-49.74</v>
      </c>
      <c r="AA886">
        <v>-24.7</v>
      </c>
      <c r="AB886">
        <v>-47.42</v>
      </c>
    </row>
    <row r="887" spans="1:28" hidden="1" x14ac:dyDescent="0.2">
      <c r="A887" t="s">
        <v>2202</v>
      </c>
      <c r="B887" t="s">
        <v>2203</v>
      </c>
      <c r="N887" s="1">
        <v>44197</v>
      </c>
      <c r="O887">
        <v>-321</v>
      </c>
      <c r="P887" t="s">
        <v>2403</v>
      </c>
      <c r="Q887" t="s">
        <v>32</v>
      </c>
      <c r="R887">
        <v>-84.27</v>
      </c>
      <c r="S887" t="s">
        <v>32</v>
      </c>
      <c r="T887" t="s">
        <v>32</v>
      </c>
      <c r="U887" t="s">
        <v>32</v>
      </c>
      <c r="V887" t="s">
        <v>32</v>
      </c>
      <c r="X887">
        <v>1</v>
      </c>
      <c r="Y887">
        <v>0</v>
      </c>
      <c r="Z887">
        <v>-432.64</v>
      </c>
      <c r="AA887">
        <v>-74.64</v>
      </c>
      <c r="AB887">
        <v>-159.63999999999999</v>
      </c>
    </row>
    <row r="888" spans="1:28" hidden="1" x14ac:dyDescent="0.2">
      <c r="A888" t="s">
        <v>1930</v>
      </c>
      <c r="B888" t="s">
        <v>1931</v>
      </c>
      <c r="N888" s="1">
        <v>44193</v>
      </c>
      <c r="Q888">
        <v>0.5</v>
      </c>
      <c r="R888">
        <v>43.6</v>
      </c>
      <c r="S888">
        <v>28.95</v>
      </c>
      <c r="T888">
        <v>31.82</v>
      </c>
      <c r="U888">
        <v>10.84</v>
      </c>
      <c r="V888">
        <v>6.49</v>
      </c>
      <c r="Y888">
        <v>2.4</v>
      </c>
      <c r="Z888">
        <v>11.27</v>
      </c>
      <c r="AA888">
        <v>3.99</v>
      </c>
      <c r="AB888">
        <v>20.93</v>
      </c>
    </row>
    <row r="889" spans="1:28" hidden="1" x14ac:dyDescent="0.2">
      <c r="A889" t="s">
        <v>1771</v>
      </c>
      <c r="B889" t="s">
        <v>1772</v>
      </c>
    </row>
    <row r="890" spans="1:28" hidden="1" x14ac:dyDescent="0.2">
      <c r="A890" t="s">
        <v>1781</v>
      </c>
      <c r="B890" t="s">
        <v>1782</v>
      </c>
      <c r="F890">
        <v>44</v>
      </c>
      <c r="H890">
        <v>0</v>
      </c>
      <c r="I890">
        <v>0</v>
      </c>
      <c r="K890" s="1">
        <v>43316</v>
      </c>
    </row>
    <row r="891" spans="1:28" hidden="1" x14ac:dyDescent="0.2">
      <c r="A891" t="s">
        <v>1936</v>
      </c>
      <c r="B891" t="s">
        <v>1937</v>
      </c>
      <c r="H891">
        <v>1</v>
      </c>
      <c r="I891">
        <v>0</v>
      </c>
      <c r="J891" t="s">
        <v>68</v>
      </c>
      <c r="K891" s="1">
        <v>43316</v>
      </c>
      <c r="L891" t="s">
        <v>71</v>
      </c>
      <c r="M891" t="s">
        <v>502</v>
      </c>
      <c r="N891" s="1">
        <v>44193</v>
      </c>
      <c r="Q891">
        <v>7.05</v>
      </c>
      <c r="R891">
        <v>-26.24</v>
      </c>
      <c r="S891">
        <v>-2.65</v>
      </c>
      <c r="T891">
        <v>-2.1800000000000002</v>
      </c>
      <c r="U891" t="s">
        <v>32</v>
      </c>
      <c r="V891" t="s">
        <v>32</v>
      </c>
      <c r="Y891">
        <v>0</v>
      </c>
      <c r="Z891">
        <v>-2.65</v>
      </c>
      <c r="AA891">
        <v>-0.45</v>
      </c>
      <c r="AB891">
        <v>-3.93</v>
      </c>
    </row>
    <row r="892" spans="1:28" hidden="1" x14ac:dyDescent="0.2">
      <c r="A892" t="s">
        <v>1938</v>
      </c>
      <c r="B892" t="s">
        <v>1939</v>
      </c>
      <c r="L892" t="s">
        <v>39</v>
      </c>
      <c r="M892" t="s">
        <v>329</v>
      </c>
      <c r="N892" s="1">
        <v>44193</v>
      </c>
      <c r="Q892">
        <v>0.25</v>
      </c>
      <c r="R892">
        <v>29.32</v>
      </c>
      <c r="S892">
        <v>7.62</v>
      </c>
      <c r="T892">
        <v>12.59</v>
      </c>
      <c r="U892">
        <v>18.47</v>
      </c>
      <c r="V892">
        <v>17.25</v>
      </c>
      <c r="Y892">
        <v>0.6</v>
      </c>
      <c r="Z892">
        <v>2.0299999999999998</v>
      </c>
      <c r="AA892">
        <v>3.93</v>
      </c>
      <c r="AB892">
        <v>12.6</v>
      </c>
    </row>
    <row r="893" spans="1:28" hidden="1" x14ac:dyDescent="0.2">
      <c r="A893" t="s">
        <v>1940</v>
      </c>
      <c r="B893" t="s">
        <v>1941</v>
      </c>
      <c r="H893">
        <v>1</v>
      </c>
      <c r="I893">
        <v>0</v>
      </c>
      <c r="K893" s="1">
        <v>43316</v>
      </c>
      <c r="L893" t="s">
        <v>26</v>
      </c>
      <c r="M893" t="s">
        <v>202</v>
      </c>
      <c r="N893" s="1">
        <v>44193</v>
      </c>
      <c r="O893">
        <v>11037</v>
      </c>
      <c r="Q893">
        <v>3.39</v>
      </c>
      <c r="R893">
        <v>-2.5</v>
      </c>
      <c r="S893">
        <v>7.09</v>
      </c>
      <c r="T893">
        <v>5.37</v>
      </c>
      <c r="U893">
        <v>7.16</v>
      </c>
      <c r="V893">
        <v>3.11</v>
      </c>
      <c r="X893">
        <v>5738</v>
      </c>
      <c r="Y893">
        <v>3</v>
      </c>
      <c r="Z893">
        <v>29.28</v>
      </c>
      <c r="AA893">
        <v>9.75</v>
      </c>
      <c r="AB893">
        <v>18.45</v>
      </c>
    </row>
    <row r="894" spans="1:28" hidden="1" x14ac:dyDescent="0.2">
      <c r="A894" t="s">
        <v>1942</v>
      </c>
      <c r="B894" t="s">
        <v>1943</v>
      </c>
      <c r="L894" t="s">
        <v>113</v>
      </c>
      <c r="M894" t="s">
        <v>124</v>
      </c>
      <c r="N894" s="1">
        <v>44193</v>
      </c>
      <c r="Q894">
        <v>4.24</v>
      </c>
      <c r="R894">
        <v>-1.25</v>
      </c>
      <c r="S894">
        <v>11.47</v>
      </c>
      <c r="T894">
        <v>8.77</v>
      </c>
      <c r="U894">
        <v>7.89</v>
      </c>
      <c r="V894">
        <v>6.48</v>
      </c>
      <c r="Y894">
        <v>3.5</v>
      </c>
      <c r="Z894">
        <v>15.73</v>
      </c>
      <c r="AA894">
        <v>2.64</v>
      </c>
      <c r="AB894">
        <v>11.37</v>
      </c>
    </row>
    <row r="895" spans="1:28" hidden="1" x14ac:dyDescent="0.2">
      <c r="A895" t="s">
        <v>1054</v>
      </c>
      <c r="B895" t="s">
        <v>1055</v>
      </c>
      <c r="H895">
        <v>1</v>
      </c>
      <c r="I895">
        <v>0</v>
      </c>
      <c r="K895" s="1">
        <v>43316</v>
      </c>
      <c r="L895" t="s">
        <v>95</v>
      </c>
      <c r="M895" t="s">
        <v>232</v>
      </c>
      <c r="N895" s="1">
        <v>44197</v>
      </c>
      <c r="O895">
        <v>-113</v>
      </c>
      <c r="P895" t="s">
        <v>2403</v>
      </c>
      <c r="Q895" t="s">
        <v>2403</v>
      </c>
      <c r="R895">
        <v>42.58</v>
      </c>
      <c r="S895">
        <v>-28.36</v>
      </c>
      <c r="T895">
        <v>-22.55</v>
      </c>
      <c r="U895">
        <v>-12.91</v>
      </c>
      <c r="V895">
        <v>-0.93</v>
      </c>
      <c r="X895">
        <v>422</v>
      </c>
      <c r="Y895">
        <v>0</v>
      </c>
      <c r="Z895">
        <v>-6.04</v>
      </c>
      <c r="AA895">
        <v>-3.86</v>
      </c>
      <c r="AB895">
        <v>-24.09</v>
      </c>
    </row>
    <row r="896" spans="1:28" hidden="1" x14ac:dyDescent="0.2">
      <c r="A896" t="s">
        <v>1946</v>
      </c>
      <c r="B896" t="s">
        <v>1947</v>
      </c>
      <c r="J896" t="s">
        <v>68</v>
      </c>
    </row>
    <row r="897" spans="1:28" hidden="1" x14ac:dyDescent="0.2">
      <c r="A897" t="s">
        <v>1589</v>
      </c>
      <c r="B897" t="s">
        <v>1590</v>
      </c>
      <c r="F897">
        <v>18</v>
      </c>
      <c r="H897">
        <v>1</v>
      </c>
      <c r="I897">
        <v>0</v>
      </c>
      <c r="K897" s="1">
        <v>43316</v>
      </c>
      <c r="L897" t="s">
        <v>213</v>
      </c>
      <c r="M897" t="s">
        <v>214</v>
      </c>
    </row>
    <row r="898" spans="1:28" hidden="1" x14ac:dyDescent="0.2">
      <c r="A898" t="s">
        <v>1950</v>
      </c>
      <c r="B898" t="s">
        <v>1951</v>
      </c>
      <c r="F898">
        <v>49</v>
      </c>
      <c r="H898">
        <v>0</v>
      </c>
      <c r="I898">
        <v>0</v>
      </c>
      <c r="K898" s="1">
        <v>43316</v>
      </c>
      <c r="L898" t="s">
        <v>71</v>
      </c>
      <c r="M898" t="s">
        <v>947</v>
      </c>
      <c r="N898" s="1">
        <v>44193</v>
      </c>
      <c r="Q898">
        <v>8.24</v>
      </c>
      <c r="R898">
        <v>-38.01</v>
      </c>
      <c r="S898">
        <v>-13.92</v>
      </c>
      <c r="T898">
        <v>-9.16</v>
      </c>
      <c r="U898">
        <v>4.67</v>
      </c>
      <c r="V898">
        <v>5.28</v>
      </c>
      <c r="Y898">
        <v>0</v>
      </c>
      <c r="Z898">
        <v>27.15</v>
      </c>
      <c r="AA898">
        <v>4.12</v>
      </c>
      <c r="AB898">
        <v>62.11</v>
      </c>
    </row>
    <row r="899" spans="1:28" hidden="1" x14ac:dyDescent="0.2">
      <c r="A899" s="2" t="s">
        <v>533</v>
      </c>
      <c r="B899" t="s">
        <v>534</v>
      </c>
      <c r="L899" t="s">
        <v>26</v>
      </c>
      <c r="M899" t="s">
        <v>27</v>
      </c>
    </row>
    <row r="900" spans="1:28" hidden="1" x14ac:dyDescent="0.2">
      <c r="A900" t="s">
        <v>1954</v>
      </c>
      <c r="B900" t="s">
        <v>1955</v>
      </c>
      <c r="J900" t="s">
        <v>68</v>
      </c>
    </row>
    <row r="901" spans="1:28" hidden="1" x14ac:dyDescent="0.2">
      <c r="A901" t="s">
        <v>1956</v>
      </c>
      <c r="B901" t="s">
        <v>1957</v>
      </c>
      <c r="H901">
        <v>0</v>
      </c>
      <c r="I901">
        <v>0</v>
      </c>
      <c r="J901" t="s">
        <v>68</v>
      </c>
      <c r="L901" t="s">
        <v>95</v>
      </c>
      <c r="M901" t="s">
        <v>232</v>
      </c>
    </row>
    <row r="902" spans="1:28" hidden="1" x14ac:dyDescent="0.2">
      <c r="A902" t="s">
        <v>316</v>
      </c>
      <c r="B902" t="s">
        <v>317</v>
      </c>
      <c r="L902" t="s">
        <v>26</v>
      </c>
      <c r="M902" t="s">
        <v>275</v>
      </c>
      <c r="N902" s="1">
        <v>44197</v>
      </c>
      <c r="O902">
        <v>-160</v>
      </c>
      <c r="P902" t="s">
        <v>2403</v>
      </c>
      <c r="Q902" t="s">
        <v>2403</v>
      </c>
      <c r="R902">
        <v>-6.32</v>
      </c>
      <c r="S902">
        <v>-43.54</v>
      </c>
      <c r="T902">
        <v>-10.77</v>
      </c>
      <c r="U902">
        <v>-6.36</v>
      </c>
      <c r="V902">
        <v>-1.1399999999999999</v>
      </c>
      <c r="X902">
        <v>85</v>
      </c>
      <c r="Y902">
        <v>0</v>
      </c>
      <c r="Z902" t="s">
        <v>2403</v>
      </c>
      <c r="AA902" t="s">
        <v>2403</v>
      </c>
      <c r="AB902" t="s">
        <v>2403</v>
      </c>
    </row>
    <row r="903" spans="1:28" hidden="1" x14ac:dyDescent="0.2">
      <c r="A903" t="s">
        <v>1960</v>
      </c>
      <c r="B903" t="s">
        <v>1961</v>
      </c>
      <c r="L903" t="s">
        <v>39</v>
      </c>
      <c r="M903" t="s">
        <v>60</v>
      </c>
      <c r="N903" s="1">
        <v>44193</v>
      </c>
      <c r="Q903">
        <v>0.44</v>
      </c>
      <c r="R903">
        <v>-48.25</v>
      </c>
      <c r="S903">
        <v>-23.37</v>
      </c>
      <c r="T903">
        <v>-3.96</v>
      </c>
      <c r="U903">
        <v>6.71</v>
      </c>
      <c r="V903" t="s">
        <v>32</v>
      </c>
      <c r="Y903">
        <v>0</v>
      </c>
      <c r="Z903">
        <v>-11.29</v>
      </c>
      <c r="AA903">
        <v>-7.62</v>
      </c>
      <c r="AB903">
        <v>-36.36</v>
      </c>
    </row>
    <row r="904" spans="1:28" hidden="1" x14ac:dyDescent="0.2">
      <c r="A904" t="s">
        <v>1962</v>
      </c>
      <c r="B904" t="s">
        <v>1963</v>
      </c>
      <c r="L904" t="s">
        <v>99</v>
      </c>
      <c r="M904" t="s">
        <v>618</v>
      </c>
      <c r="N904" s="1">
        <v>44193</v>
      </c>
      <c r="Q904">
        <v>4.07</v>
      </c>
      <c r="R904">
        <v>26</v>
      </c>
      <c r="S904">
        <v>-9.81</v>
      </c>
      <c r="T904">
        <v>-1.1399999999999999</v>
      </c>
      <c r="U904">
        <v>2.64</v>
      </c>
      <c r="V904">
        <v>5.14</v>
      </c>
      <c r="Y904">
        <v>0</v>
      </c>
      <c r="Z904">
        <v>0.74</v>
      </c>
      <c r="AA904">
        <v>2.9</v>
      </c>
      <c r="AB904">
        <v>9.5399999999999991</v>
      </c>
    </row>
    <row r="905" spans="1:28" hidden="1" x14ac:dyDescent="0.2">
      <c r="A905" t="s">
        <v>2218</v>
      </c>
      <c r="B905" t="s">
        <v>2219</v>
      </c>
      <c r="N905" s="1">
        <v>44197</v>
      </c>
      <c r="O905">
        <v>71</v>
      </c>
      <c r="P905" t="s">
        <v>2403</v>
      </c>
      <c r="Q905" t="s">
        <v>32</v>
      </c>
      <c r="R905">
        <v>118.56</v>
      </c>
      <c r="S905">
        <v>38.47</v>
      </c>
      <c r="T905">
        <v>6.35</v>
      </c>
      <c r="U905" t="s">
        <v>32</v>
      </c>
      <c r="V905" t="s">
        <v>32</v>
      </c>
      <c r="X905" t="s">
        <v>32</v>
      </c>
      <c r="Y905">
        <v>0</v>
      </c>
      <c r="Z905">
        <v>5.62</v>
      </c>
      <c r="AA905">
        <v>10.44</v>
      </c>
      <c r="AB905">
        <v>52.2</v>
      </c>
    </row>
    <row r="906" spans="1:28" hidden="1" x14ac:dyDescent="0.2">
      <c r="A906" s="2" t="s">
        <v>1221</v>
      </c>
      <c r="B906" t="s">
        <v>1222</v>
      </c>
      <c r="F906">
        <v>26</v>
      </c>
      <c r="H906">
        <v>1</v>
      </c>
      <c r="I906">
        <v>0</v>
      </c>
      <c r="K906" s="1">
        <v>43316</v>
      </c>
      <c r="L906" t="s">
        <v>99</v>
      </c>
      <c r="M906" t="s">
        <v>1223</v>
      </c>
    </row>
    <row r="907" spans="1:28" hidden="1" x14ac:dyDescent="0.2">
      <c r="A907" t="s">
        <v>1968</v>
      </c>
      <c r="B907" t="s">
        <v>1969</v>
      </c>
      <c r="L907" t="s">
        <v>113</v>
      </c>
      <c r="M907" t="s">
        <v>599</v>
      </c>
      <c r="N907" s="1">
        <v>44193</v>
      </c>
      <c r="Q907">
        <v>3.89</v>
      </c>
      <c r="R907">
        <v>-19.89</v>
      </c>
      <c r="S907">
        <v>-1.46</v>
      </c>
      <c r="T907">
        <v>4.66</v>
      </c>
      <c r="U907">
        <v>8.56</v>
      </c>
      <c r="V907">
        <v>7.78</v>
      </c>
      <c r="Y907">
        <v>3.5</v>
      </c>
      <c r="Z907">
        <v>3.97</v>
      </c>
      <c r="AA907">
        <v>0.93</v>
      </c>
      <c r="AB907">
        <v>3.22</v>
      </c>
    </row>
    <row r="908" spans="1:28" hidden="1" x14ac:dyDescent="0.2">
      <c r="A908" t="s">
        <v>1970</v>
      </c>
      <c r="B908" t="s">
        <v>1971</v>
      </c>
      <c r="L908" t="s">
        <v>113</v>
      </c>
      <c r="M908" t="s">
        <v>126</v>
      </c>
      <c r="N908" s="1">
        <v>44193</v>
      </c>
      <c r="Q908">
        <v>3.22</v>
      </c>
      <c r="R908">
        <v>-13.01</v>
      </c>
      <c r="S908">
        <v>8.5</v>
      </c>
      <c r="T908">
        <v>8.42</v>
      </c>
      <c r="U908">
        <v>11.59</v>
      </c>
      <c r="V908">
        <v>8.94</v>
      </c>
      <c r="Y908">
        <v>2.8</v>
      </c>
      <c r="Z908">
        <v>34.08</v>
      </c>
      <c r="AA908">
        <v>5.76</v>
      </c>
      <c r="AB908">
        <v>20.82</v>
      </c>
    </row>
    <row r="909" spans="1:28" hidden="1" x14ac:dyDescent="0.2">
      <c r="A909" t="s">
        <v>183</v>
      </c>
      <c r="B909" t="s">
        <v>184</v>
      </c>
      <c r="L909" t="s">
        <v>43</v>
      </c>
      <c r="M909" t="s">
        <v>169</v>
      </c>
      <c r="N909" s="1">
        <v>44197</v>
      </c>
      <c r="O909">
        <v>-7</v>
      </c>
      <c r="P909" t="s">
        <v>2403</v>
      </c>
      <c r="Q909" t="s">
        <v>2403</v>
      </c>
      <c r="R909">
        <v>3.1</v>
      </c>
      <c r="S909">
        <v>9.76</v>
      </c>
      <c r="T909">
        <v>15.35</v>
      </c>
      <c r="U909">
        <v>6.71</v>
      </c>
      <c r="V909">
        <v>10.66</v>
      </c>
      <c r="X909">
        <v>50</v>
      </c>
      <c r="Y909">
        <v>0</v>
      </c>
      <c r="Z909">
        <v>-1.1299999999999999</v>
      </c>
      <c r="AA909">
        <v>-1.25</v>
      </c>
      <c r="AB909">
        <v>-2.71</v>
      </c>
    </row>
    <row r="910" spans="1:28" hidden="1" x14ac:dyDescent="0.2">
      <c r="A910" t="s">
        <v>1974</v>
      </c>
      <c r="B910" t="s">
        <v>1975</v>
      </c>
      <c r="H910">
        <v>1</v>
      </c>
      <c r="I910">
        <v>0</v>
      </c>
      <c r="K910" s="1">
        <v>43316</v>
      </c>
      <c r="L910" t="s">
        <v>226</v>
      </c>
      <c r="M910" t="s">
        <v>227</v>
      </c>
      <c r="N910" s="1">
        <v>44193</v>
      </c>
      <c r="Q910">
        <v>15.48</v>
      </c>
      <c r="R910">
        <v>22.36</v>
      </c>
      <c r="S910">
        <v>1.35</v>
      </c>
      <c r="T910">
        <v>8.3800000000000008</v>
      </c>
      <c r="U910" t="s">
        <v>32</v>
      </c>
      <c r="V910" t="s">
        <v>32</v>
      </c>
      <c r="Y910">
        <v>0</v>
      </c>
      <c r="Z910">
        <v>1.29</v>
      </c>
      <c r="AA910">
        <v>3.42</v>
      </c>
      <c r="AB910">
        <v>42.3</v>
      </c>
    </row>
    <row r="911" spans="1:28" hidden="1" x14ac:dyDescent="0.2">
      <c r="A911" t="s">
        <v>2236</v>
      </c>
      <c r="B911" t="s">
        <v>2237</v>
      </c>
      <c r="N911" s="1">
        <v>44197</v>
      </c>
      <c r="O911">
        <v>-290</v>
      </c>
      <c r="P911" t="s">
        <v>2403</v>
      </c>
      <c r="Q911" t="s">
        <v>2403</v>
      </c>
      <c r="R911">
        <v>101.92</v>
      </c>
      <c r="S911">
        <v>21.56</v>
      </c>
      <c r="T911">
        <v>-4.76</v>
      </c>
      <c r="U911">
        <v>-7.57</v>
      </c>
      <c r="V911" t="s">
        <v>32</v>
      </c>
      <c r="X911">
        <v>106</v>
      </c>
      <c r="Y911">
        <v>0</v>
      </c>
      <c r="Z911">
        <v>-698.01</v>
      </c>
      <c r="AA911">
        <v>-49.83</v>
      </c>
      <c r="AB911">
        <v>-230.59</v>
      </c>
    </row>
    <row r="912" spans="1:28" hidden="1" x14ac:dyDescent="0.2">
      <c r="A912" s="2" t="s">
        <v>1793</v>
      </c>
      <c r="B912" t="s">
        <v>1794</v>
      </c>
      <c r="J912" t="s">
        <v>80</v>
      </c>
    </row>
    <row r="913" spans="1:28" hidden="1" x14ac:dyDescent="0.2">
      <c r="A913" t="s">
        <v>2250</v>
      </c>
      <c r="B913" t="s">
        <v>2251</v>
      </c>
      <c r="N913" s="1">
        <v>44197</v>
      </c>
      <c r="O913">
        <v>24873372</v>
      </c>
      <c r="P913" t="s">
        <v>2403</v>
      </c>
      <c r="Q913" t="s">
        <v>32</v>
      </c>
      <c r="R913">
        <v>2</v>
      </c>
      <c r="S913">
        <v>1.43</v>
      </c>
      <c r="T913">
        <v>18.95</v>
      </c>
      <c r="U913">
        <v>14.26</v>
      </c>
      <c r="V913">
        <v>11.52</v>
      </c>
      <c r="X913">
        <v>20808619</v>
      </c>
      <c r="Y913">
        <v>0</v>
      </c>
      <c r="Z913">
        <v>9.3000000000000007</v>
      </c>
      <c r="AA913">
        <v>6</v>
      </c>
      <c r="AB913">
        <v>8.36</v>
      </c>
    </row>
    <row r="914" spans="1:28" hidden="1" x14ac:dyDescent="0.2">
      <c r="A914" t="s">
        <v>1150</v>
      </c>
      <c r="B914" t="s">
        <v>1151</v>
      </c>
      <c r="L914" t="s">
        <v>26</v>
      </c>
      <c r="M914" t="s">
        <v>759</v>
      </c>
      <c r="N914" s="1">
        <v>44197</v>
      </c>
      <c r="O914">
        <v>-1</v>
      </c>
      <c r="P914" t="s">
        <v>2403</v>
      </c>
      <c r="Q914" t="s">
        <v>32</v>
      </c>
      <c r="R914">
        <v>18.690000000000001</v>
      </c>
      <c r="S914">
        <v>-7.22</v>
      </c>
      <c r="T914">
        <v>6.69</v>
      </c>
      <c r="U914">
        <v>-2.4</v>
      </c>
      <c r="V914">
        <v>-13.24</v>
      </c>
      <c r="X914" t="s">
        <v>32</v>
      </c>
      <c r="Y914">
        <v>0</v>
      </c>
      <c r="Z914">
        <v>-2.62</v>
      </c>
      <c r="AA914">
        <v>-4.51</v>
      </c>
      <c r="AB914">
        <v>-8.64</v>
      </c>
    </row>
    <row r="915" spans="1:28" hidden="1" x14ac:dyDescent="0.2">
      <c r="A915" t="s">
        <v>425</v>
      </c>
      <c r="B915" t="s">
        <v>426</v>
      </c>
      <c r="L915" t="s">
        <v>95</v>
      </c>
      <c r="M915" t="s">
        <v>427</v>
      </c>
      <c r="N915" s="1">
        <v>44197</v>
      </c>
      <c r="O915">
        <v>-458</v>
      </c>
      <c r="P915" t="s">
        <v>2403</v>
      </c>
      <c r="Q915" t="s">
        <v>32</v>
      </c>
      <c r="R915">
        <v>2.4500000000000002</v>
      </c>
      <c r="S915">
        <v>1.25</v>
      </c>
      <c r="T915">
        <v>-2.4700000000000002</v>
      </c>
      <c r="U915">
        <v>-4.4400000000000004</v>
      </c>
      <c r="V915">
        <v>3.42</v>
      </c>
      <c r="X915">
        <v>89</v>
      </c>
      <c r="Y915">
        <v>0</v>
      </c>
      <c r="Z915">
        <v>-84.95</v>
      </c>
      <c r="AA915">
        <v>-39.78</v>
      </c>
      <c r="AB915">
        <v>-48.89</v>
      </c>
    </row>
    <row r="916" spans="1:28" hidden="1" x14ac:dyDescent="0.2">
      <c r="A916" t="s">
        <v>1305</v>
      </c>
      <c r="B916" t="s">
        <v>1306</v>
      </c>
      <c r="F916">
        <v>31</v>
      </c>
      <c r="G916">
        <v>3.2</v>
      </c>
      <c r="K916" s="1">
        <v>43716</v>
      </c>
      <c r="L916" t="s">
        <v>95</v>
      </c>
      <c r="M916" t="s">
        <v>913</v>
      </c>
      <c r="N916" s="1">
        <v>44197</v>
      </c>
      <c r="O916">
        <v>96</v>
      </c>
      <c r="P916" t="s">
        <v>2403</v>
      </c>
      <c r="Q916" t="s">
        <v>32</v>
      </c>
      <c r="R916">
        <v>-2.1</v>
      </c>
      <c r="S916">
        <v>1.05</v>
      </c>
      <c r="T916">
        <v>2.75</v>
      </c>
      <c r="U916">
        <v>5.77</v>
      </c>
      <c r="V916" t="s">
        <v>32</v>
      </c>
      <c r="X916">
        <v>137</v>
      </c>
      <c r="Y916">
        <v>2.2999999999999998</v>
      </c>
      <c r="Z916">
        <v>3.22</v>
      </c>
      <c r="AA916">
        <v>1.34</v>
      </c>
      <c r="AB916">
        <v>3.71</v>
      </c>
    </row>
    <row r="917" spans="1:28" hidden="1" x14ac:dyDescent="0.2">
      <c r="A917" s="2" t="s">
        <v>2395</v>
      </c>
      <c r="B917" t="s">
        <v>2395</v>
      </c>
      <c r="F917">
        <v>82</v>
      </c>
      <c r="H917">
        <v>1</v>
      </c>
      <c r="I917">
        <v>0</v>
      </c>
      <c r="K917" s="1">
        <v>43316</v>
      </c>
      <c r="L917" t="s">
        <v>71</v>
      </c>
      <c r="M917" t="s">
        <v>648</v>
      </c>
    </row>
    <row r="918" spans="1:28" hidden="1" x14ac:dyDescent="0.2">
      <c r="A918" t="s">
        <v>1795</v>
      </c>
      <c r="B918" t="s">
        <v>1796</v>
      </c>
    </row>
    <row r="919" spans="1:28" hidden="1" x14ac:dyDescent="0.2">
      <c r="A919" t="s">
        <v>1992</v>
      </c>
      <c r="B919" t="s">
        <v>1993</v>
      </c>
      <c r="L919" t="s">
        <v>35</v>
      </c>
      <c r="M919" t="s">
        <v>235</v>
      </c>
      <c r="N919" s="1">
        <v>44193</v>
      </c>
      <c r="Q919">
        <v>1.75</v>
      </c>
      <c r="R919">
        <v>-13.81</v>
      </c>
      <c r="S919">
        <v>-9.8000000000000007</v>
      </c>
      <c r="T919">
        <v>3.28</v>
      </c>
      <c r="U919">
        <v>7.03</v>
      </c>
      <c r="V919">
        <v>4.4400000000000004</v>
      </c>
      <c r="Y919">
        <v>0</v>
      </c>
      <c r="Z919">
        <v>24.82</v>
      </c>
      <c r="AA919">
        <v>0.82</v>
      </c>
      <c r="AB919">
        <v>5.64</v>
      </c>
    </row>
    <row r="920" spans="1:28" hidden="1" x14ac:dyDescent="0.2">
      <c r="A920" t="s">
        <v>1994</v>
      </c>
      <c r="B920" t="s">
        <v>1995</v>
      </c>
      <c r="L920" t="s">
        <v>30</v>
      </c>
      <c r="M920" t="s">
        <v>1573</v>
      </c>
      <c r="N920" s="1">
        <v>44193</v>
      </c>
      <c r="Q920">
        <v>2.73</v>
      </c>
      <c r="R920">
        <v>7.91</v>
      </c>
      <c r="S920">
        <v>-3.4</v>
      </c>
      <c r="T920">
        <v>17.2</v>
      </c>
      <c r="U920">
        <v>8.7899999999999991</v>
      </c>
      <c r="V920">
        <v>11.13</v>
      </c>
      <c r="Y920">
        <v>10.9</v>
      </c>
      <c r="Z920">
        <v>5.18</v>
      </c>
      <c r="AA920">
        <v>5.85</v>
      </c>
      <c r="AB920">
        <v>11.73</v>
      </c>
    </row>
    <row r="921" spans="1:28" hidden="1" x14ac:dyDescent="0.2">
      <c r="A921" t="s">
        <v>1822</v>
      </c>
      <c r="B921" t="s">
        <v>1823</v>
      </c>
    </row>
    <row r="922" spans="1:28" hidden="1" x14ac:dyDescent="0.2">
      <c r="A922" t="s">
        <v>1998</v>
      </c>
      <c r="B922" t="s">
        <v>1999</v>
      </c>
      <c r="N922" s="1">
        <v>44193</v>
      </c>
      <c r="Q922">
        <v>4.33</v>
      </c>
      <c r="R922">
        <v>-6.51</v>
      </c>
      <c r="S922">
        <v>13.21</v>
      </c>
      <c r="T922">
        <v>11.43</v>
      </c>
      <c r="U922" t="s">
        <v>32</v>
      </c>
      <c r="V922" t="s">
        <v>32</v>
      </c>
      <c r="Y922">
        <v>0</v>
      </c>
      <c r="Z922">
        <v>31.24</v>
      </c>
      <c r="AA922">
        <v>2.63</v>
      </c>
      <c r="AB922">
        <v>4.71</v>
      </c>
    </row>
    <row r="923" spans="1:28" hidden="1" x14ac:dyDescent="0.2">
      <c r="A923" t="s">
        <v>2000</v>
      </c>
      <c r="B923" t="s">
        <v>2001</v>
      </c>
      <c r="H923">
        <v>1</v>
      </c>
      <c r="I923">
        <v>0</v>
      </c>
      <c r="K923" s="1">
        <v>43316</v>
      </c>
      <c r="L923" t="s">
        <v>35</v>
      </c>
      <c r="M923" t="s">
        <v>50</v>
      </c>
      <c r="N923" s="1">
        <v>44193</v>
      </c>
      <c r="Q923">
        <v>2.95</v>
      </c>
      <c r="R923">
        <v>-7.26</v>
      </c>
      <c r="S923">
        <v>-7.49</v>
      </c>
      <c r="T923">
        <v>3.69</v>
      </c>
      <c r="U923">
        <v>6.1</v>
      </c>
      <c r="V923">
        <v>2.9</v>
      </c>
      <c r="Y923">
        <v>1.8</v>
      </c>
      <c r="Z923">
        <v>20.95</v>
      </c>
      <c r="AA923">
        <v>0.87</v>
      </c>
      <c r="AB923">
        <v>10.09</v>
      </c>
    </row>
    <row r="924" spans="1:28" hidden="1" x14ac:dyDescent="0.2">
      <c r="A924" t="s">
        <v>2002</v>
      </c>
      <c r="B924" t="s">
        <v>2003</v>
      </c>
      <c r="F924">
        <v>20</v>
      </c>
      <c r="H924">
        <v>0</v>
      </c>
      <c r="I924">
        <v>0</v>
      </c>
      <c r="K924" s="1">
        <v>43316</v>
      </c>
      <c r="L924" t="s">
        <v>95</v>
      </c>
      <c r="M924" t="s">
        <v>1578</v>
      </c>
      <c r="N924" s="1">
        <v>44193</v>
      </c>
      <c r="O924">
        <v>1027</v>
      </c>
      <c r="Q924">
        <v>4.42</v>
      </c>
      <c r="R924">
        <v>10.220000000000001</v>
      </c>
      <c r="S924">
        <v>18.760000000000002</v>
      </c>
      <c r="T924">
        <v>15.6</v>
      </c>
      <c r="U924">
        <v>18.82</v>
      </c>
      <c r="V924">
        <v>9.94</v>
      </c>
      <c r="X924">
        <v>941</v>
      </c>
      <c r="Y924">
        <v>5.2</v>
      </c>
      <c r="Z924">
        <v>10.02</v>
      </c>
      <c r="AA924">
        <v>11.67</v>
      </c>
      <c r="AB924">
        <v>57.2</v>
      </c>
    </row>
    <row r="925" spans="1:28" hidden="1" x14ac:dyDescent="0.2">
      <c r="A925" t="s">
        <v>2004</v>
      </c>
      <c r="B925" t="s">
        <v>2005</v>
      </c>
      <c r="F925">
        <v>68</v>
      </c>
      <c r="H925">
        <v>0</v>
      </c>
      <c r="I925">
        <v>0</v>
      </c>
      <c r="J925" t="s">
        <v>53</v>
      </c>
      <c r="K925" s="1">
        <v>43316</v>
      </c>
      <c r="L925" t="s">
        <v>99</v>
      </c>
      <c r="M925" t="s">
        <v>269</v>
      </c>
      <c r="N925" s="1">
        <v>44193</v>
      </c>
      <c r="R925">
        <v>17.12</v>
      </c>
      <c r="S925">
        <v>0.11</v>
      </c>
      <c r="T925">
        <v>9.7799999999999994</v>
      </c>
      <c r="U925">
        <v>26.22</v>
      </c>
      <c r="V925">
        <v>15.65</v>
      </c>
      <c r="Y925">
        <v>2.5</v>
      </c>
      <c r="Z925">
        <v>13.45</v>
      </c>
      <c r="AA925">
        <v>4.05</v>
      </c>
      <c r="AB925">
        <v>9.48</v>
      </c>
    </row>
    <row r="926" spans="1:28" hidden="1" x14ac:dyDescent="0.2">
      <c r="A926" t="s">
        <v>2006</v>
      </c>
      <c r="B926" t="s">
        <v>2007</v>
      </c>
      <c r="L926" t="s">
        <v>226</v>
      </c>
      <c r="M926" t="s">
        <v>657</v>
      </c>
      <c r="N926" s="1">
        <v>44193</v>
      </c>
      <c r="Q926">
        <v>5.92</v>
      </c>
      <c r="R926">
        <v>-44.65</v>
      </c>
      <c r="S926">
        <v>-16.73</v>
      </c>
      <c r="T926">
        <v>-3.61</v>
      </c>
      <c r="U926">
        <v>-3.88</v>
      </c>
      <c r="V926">
        <v>-1.0900000000000001</v>
      </c>
      <c r="Y926">
        <v>0</v>
      </c>
      <c r="Z926">
        <v>-23.56</v>
      </c>
      <c r="AA926">
        <v>-7.34</v>
      </c>
      <c r="AB926">
        <v>-15.91</v>
      </c>
    </row>
    <row r="927" spans="1:28" hidden="1" x14ac:dyDescent="0.2">
      <c r="A927" t="s">
        <v>2008</v>
      </c>
      <c r="B927" t="s">
        <v>2009</v>
      </c>
      <c r="H927">
        <v>1</v>
      </c>
      <c r="I927">
        <v>0</v>
      </c>
      <c r="K927" s="1">
        <v>43316</v>
      </c>
      <c r="L927" t="s">
        <v>226</v>
      </c>
      <c r="M927" t="s">
        <v>227</v>
      </c>
      <c r="N927" s="1">
        <v>44193</v>
      </c>
      <c r="Q927">
        <v>11.88</v>
      </c>
      <c r="R927">
        <v>2.5099999999999998</v>
      </c>
      <c r="S927">
        <v>10.58</v>
      </c>
      <c r="T927">
        <v>2.99</v>
      </c>
      <c r="U927" t="s">
        <v>32</v>
      </c>
      <c r="V927" t="s">
        <v>32</v>
      </c>
      <c r="Y927">
        <v>0</v>
      </c>
      <c r="Z927">
        <v>1.73</v>
      </c>
      <c r="AA927">
        <v>3.99</v>
      </c>
      <c r="AB927">
        <v>30.35</v>
      </c>
    </row>
    <row r="928" spans="1:28" hidden="1" x14ac:dyDescent="0.2">
      <c r="A928" t="s">
        <v>1832</v>
      </c>
      <c r="B928" t="s">
        <v>1833</v>
      </c>
    </row>
    <row r="929" spans="1:28" hidden="1" x14ac:dyDescent="0.2">
      <c r="A929" t="s">
        <v>2264</v>
      </c>
      <c r="B929" t="s">
        <v>2265</v>
      </c>
      <c r="N929" s="1">
        <v>44197</v>
      </c>
      <c r="O929">
        <v>39</v>
      </c>
      <c r="P929" t="s">
        <v>2403</v>
      </c>
      <c r="Q929" t="s">
        <v>32</v>
      </c>
      <c r="R929">
        <v>-19.41</v>
      </c>
      <c r="S929" t="s">
        <v>32</v>
      </c>
      <c r="T929" t="s">
        <v>32</v>
      </c>
      <c r="U929" t="s">
        <v>32</v>
      </c>
      <c r="V929" t="s">
        <v>32</v>
      </c>
      <c r="X929">
        <v>122</v>
      </c>
      <c r="Y929">
        <v>0</v>
      </c>
      <c r="Z929">
        <v>3.86</v>
      </c>
      <c r="AA929">
        <v>0.73</v>
      </c>
      <c r="AB929">
        <v>1.44</v>
      </c>
    </row>
    <row r="930" spans="1:28" hidden="1" x14ac:dyDescent="0.2">
      <c r="A930" t="s">
        <v>408</v>
      </c>
      <c r="B930" t="s">
        <v>409</v>
      </c>
      <c r="L930" t="s">
        <v>95</v>
      </c>
      <c r="M930" t="s">
        <v>410</v>
      </c>
      <c r="N930" s="1">
        <v>44197</v>
      </c>
      <c r="O930">
        <v>-61</v>
      </c>
      <c r="P930" t="s">
        <v>2403</v>
      </c>
      <c r="Q930" t="s">
        <v>32</v>
      </c>
      <c r="R930">
        <v>52.98</v>
      </c>
      <c r="S930">
        <v>-10.6</v>
      </c>
      <c r="T930">
        <v>-1.48</v>
      </c>
      <c r="U930">
        <v>-0.21</v>
      </c>
      <c r="V930">
        <v>1.85</v>
      </c>
      <c r="X930">
        <v>90</v>
      </c>
      <c r="Y930">
        <v>0</v>
      </c>
      <c r="Z930">
        <v>-9.8800000000000008</v>
      </c>
      <c r="AA930">
        <v>-9.4</v>
      </c>
      <c r="AB930">
        <v>-16.75</v>
      </c>
    </row>
    <row r="931" spans="1:28" hidden="1" x14ac:dyDescent="0.2">
      <c r="A931" t="s">
        <v>2016</v>
      </c>
      <c r="B931" t="s">
        <v>2017</v>
      </c>
      <c r="F931">
        <v>60</v>
      </c>
      <c r="H931">
        <v>0</v>
      </c>
      <c r="I931">
        <v>0</v>
      </c>
      <c r="K931" s="1">
        <v>43316</v>
      </c>
      <c r="L931" t="s">
        <v>39</v>
      </c>
      <c r="M931" t="s">
        <v>1925</v>
      </c>
      <c r="N931" s="1">
        <v>44193</v>
      </c>
      <c r="Q931">
        <v>1.51</v>
      </c>
      <c r="R931">
        <v>10.67</v>
      </c>
      <c r="S931">
        <v>3.93</v>
      </c>
      <c r="T931">
        <v>12.49</v>
      </c>
      <c r="U931">
        <v>11.67</v>
      </c>
      <c r="V931">
        <v>10.19</v>
      </c>
      <c r="Y931">
        <v>2.2999999999999998</v>
      </c>
      <c r="Z931">
        <v>6.87</v>
      </c>
      <c r="AA931">
        <v>4.29</v>
      </c>
      <c r="AB931">
        <v>11.61</v>
      </c>
    </row>
    <row r="932" spans="1:28" hidden="1" x14ac:dyDescent="0.2">
      <c r="A932" s="2" t="s">
        <v>1845</v>
      </c>
      <c r="B932" t="s">
        <v>1846</v>
      </c>
      <c r="J932" t="s">
        <v>80</v>
      </c>
    </row>
    <row r="933" spans="1:28" hidden="1" x14ac:dyDescent="0.2">
      <c r="A933" t="s">
        <v>2020</v>
      </c>
      <c r="B933" t="s">
        <v>2021</v>
      </c>
      <c r="F933">
        <v>19</v>
      </c>
      <c r="H933">
        <v>1</v>
      </c>
      <c r="I933">
        <v>0</v>
      </c>
      <c r="K933" s="1">
        <v>43316</v>
      </c>
      <c r="L933" t="s">
        <v>226</v>
      </c>
      <c r="M933" t="s">
        <v>243</v>
      </c>
    </row>
    <row r="934" spans="1:28" hidden="1" x14ac:dyDescent="0.2">
      <c r="A934" t="s">
        <v>2022</v>
      </c>
      <c r="B934" t="s">
        <v>2023</v>
      </c>
      <c r="H934">
        <v>1</v>
      </c>
      <c r="I934">
        <v>0</v>
      </c>
      <c r="J934" t="s">
        <v>68</v>
      </c>
      <c r="K934" s="1">
        <v>43316</v>
      </c>
      <c r="L934" t="s">
        <v>35</v>
      </c>
      <c r="M934" t="s">
        <v>106</v>
      </c>
      <c r="N934" s="1">
        <v>44193</v>
      </c>
      <c r="Q934">
        <v>2.89</v>
      </c>
      <c r="R934">
        <v>-4.07</v>
      </c>
      <c r="S934">
        <v>-2.06</v>
      </c>
      <c r="T934">
        <v>4.01</v>
      </c>
      <c r="U934" t="s">
        <v>32</v>
      </c>
      <c r="V934" t="s">
        <v>32</v>
      </c>
      <c r="Y934">
        <v>0.3</v>
      </c>
      <c r="Z934">
        <v>8.86</v>
      </c>
      <c r="AA934">
        <v>1.34</v>
      </c>
      <c r="AB934">
        <v>10.16</v>
      </c>
    </row>
    <row r="935" spans="1:28" hidden="1" x14ac:dyDescent="0.2">
      <c r="A935" t="s">
        <v>391</v>
      </c>
      <c r="B935" t="s">
        <v>392</v>
      </c>
      <c r="L935" t="s">
        <v>35</v>
      </c>
      <c r="M935" t="s">
        <v>210</v>
      </c>
    </row>
    <row r="936" spans="1:28" hidden="1" x14ac:dyDescent="0.2">
      <c r="A936" t="s">
        <v>1859</v>
      </c>
      <c r="B936" t="s">
        <v>1860</v>
      </c>
    </row>
    <row r="937" spans="1:28" hidden="1" x14ac:dyDescent="0.2">
      <c r="A937" t="s">
        <v>2028</v>
      </c>
      <c r="B937" t="s">
        <v>1151</v>
      </c>
      <c r="F937">
        <v>57</v>
      </c>
      <c r="H937">
        <v>1</v>
      </c>
      <c r="I937">
        <v>0</v>
      </c>
      <c r="K937" s="1">
        <v>43316</v>
      </c>
      <c r="L937" t="s">
        <v>99</v>
      </c>
      <c r="M937" t="s">
        <v>618</v>
      </c>
      <c r="N937" s="1">
        <v>44193</v>
      </c>
      <c r="R937">
        <v>-13.07</v>
      </c>
      <c r="S937">
        <v>8.34</v>
      </c>
      <c r="T937">
        <v>14.07</v>
      </c>
      <c r="U937">
        <v>11.38</v>
      </c>
      <c r="V937">
        <v>7.13</v>
      </c>
      <c r="Y937">
        <v>2.2000000000000002</v>
      </c>
      <c r="Z937">
        <v>-0.04</v>
      </c>
      <c r="AA937">
        <v>-0.1</v>
      </c>
      <c r="AB937">
        <v>-1.1399999999999999</v>
      </c>
    </row>
    <row r="938" spans="1:28" hidden="1" x14ac:dyDescent="0.2">
      <c r="A938" t="s">
        <v>2029</v>
      </c>
      <c r="B938" t="s">
        <v>2030</v>
      </c>
      <c r="F938">
        <v>47</v>
      </c>
      <c r="H938">
        <v>1</v>
      </c>
      <c r="I938">
        <v>0</v>
      </c>
      <c r="J938" t="s">
        <v>68</v>
      </c>
      <c r="K938" s="1">
        <v>43316</v>
      </c>
      <c r="L938" t="s">
        <v>213</v>
      </c>
      <c r="M938" t="s">
        <v>214</v>
      </c>
      <c r="N938" s="1">
        <v>44193</v>
      </c>
      <c r="Q938">
        <v>7.23</v>
      </c>
      <c r="R938">
        <v>-21.02</v>
      </c>
      <c r="S938">
        <v>-3.67</v>
      </c>
      <c r="T938">
        <v>2.2200000000000002</v>
      </c>
      <c r="U938">
        <v>5.03</v>
      </c>
      <c r="V938">
        <v>5.55</v>
      </c>
      <c r="Y938">
        <v>7.3</v>
      </c>
      <c r="Z938">
        <v>6.34</v>
      </c>
      <c r="AA938">
        <v>2.02</v>
      </c>
      <c r="AB938">
        <v>6.11</v>
      </c>
    </row>
    <row r="939" spans="1:28" hidden="1" x14ac:dyDescent="0.2">
      <c r="A939" t="s">
        <v>1553</v>
      </c>
      <c r="B939" t="s">
        <v>1554</v>
      </c>
      <c r="L939" t="s">
        <v>43</v>
      </c>
      <c r="M939" t="s">
        <v>47</v>
      </c>
      <c r="N939" s="1">
        <v>44197</v>
      </c>
      <c r="O939">
        <v>35</v>
      </c>
      <c r="P939" t="s">
        <v>2403</v>
      </c>
      <c r="Q939" t="s">
        <v>32</v>
      </c>
      <c r="R939">
        <v>90.09</v>
      </c>
      <c r="S939">
        <v>16.72</v>
      </c>
      <c r="T939">
        <v>-7.06</v>
      </c>
      <c r="U939">
        <v>5.63</v>
      </c>
      <c r="V939" t="s">
        <v>32</v>
      </c>
      <c r="X939" t="s">
        <v>32</v>
      </c>
      <c r="Y939">
        <v>0</v>
      </c>
      <c r="Z939">
        <v>0.69</v>
      </c>
      <c r="AA939">
        <v>1.08</v>
      </c>
      <c r="AB939">
        <v>5.99</v>
      </c>
    </row>
    <row r="940" spans="1:28" hidden="1" x14ac:dyDescent="0.2">
      <c r="A940" t="s">
        <v>2033</v>
      </c>
      <c r="B940" t="s">
        <v>2034</v>
      </c>
      <c r="N940" s="1">
        <v>44193</v>
      </c>
      <c r="O940">
        <v>56051</v>
      </c>
      <c r="Q940">
        <v>4.76</v>
      </c>
      <c r="R940">
        <v>-5.0599999999999996</v>
      </c>
      <c r="S940">
        <v>-10.28</v>
      </c>
      <c r="T940">
        <v>-1.9</v>
      </c>
      <c r="U940">
        <v>1.22</v>
      </c>
      <c r="V940" t="s">
        <v>32</v>
      </c>
      <c r="X940">
        <v>486996</v>
      </c>
      <c r="Y940">
        <v>0.1</v>
      </c>
      <c r="Z940">
        <v>1.74</v>
      </c>
      <c r="AA940">
        <v>0.44</v>
      </c>
      <c r="AB940">
        <v>1.18</v>
      </c>
    </row>
    <row r="941" spans="1:28" hidden="1" x14ac:dyDescent="0.2">
      <c r="A941" t="s">
        <v>1865</v>
      </c>
      <c r="B941" t="s">
        <v>1866</v>
      </c>
    </row>
    <row r="942" spans="1:28" hidden="1" x14ac:dyDescent="0.2">
      <c r="A942" t="s">
        <v>2037</v>
      </c>
      <c r="B942" t="s">
        <v>2038</v>
      </c>
      <c r="L942" t="s">
        <v>99</v>
      </c>
      <c r="M942" t="s">
        <v>251</v>
      </c>
      <c r="N942" s="1">
        <v>44193</v>
      </c>
      <c r="Q942">
        <v>2.48</v>
      </c>
      <c r="R942">
        <v>-13.59</v>
      </c>
      <c r="S942">
        <v>-15.09</v>
      </c>
      <c r="T942">
        <v>-10.85</v>
      </c>
      <c r="U942">
        <v>1.63</v>
      </c>
      <c r="V942">
        <v>4.47</v>
      </c>
      <c r="Y942">
        <v>13.9</v>
      </c>
      <c r="Z942">
        <v>5.94</v>
      </c>
      <c r="AA942">
        <v>2.04</v>
      </c>
      <c r="AB942">
        <v>4.38</v>
      </c>
    </row>
    <row r="943" spans="1:28" hidden="1" x14ac:dyDescent="0.2">
      <c r="A943" t="s">
        <v>1867</v>
      </c>
      <c r="B943" t="s">
        <v>1868</v>
      </c>
    </row>
    <row r="944" spans="1:28" hidden="1" x14ac:dyDescent="0.2">
      <c r="A944" t="s">
        <v>1873</v>
      </c>
      <c r="B944" t="s">
        <v>1874</v>
      </c>
    </row>
    <row r="945" spans="1:28" hidden="1" x14ac:dyDescent="0.2">
      <c r="A945" t="s">
        <v>1559</v>
      </c>
      <c r="B945" t="s">
        <v>1560</v>
      </c>
      <c r="F945">
        <v>60</v>
      </c>
      <c r="H945">
        <v>1</v>
      </c>
      <c r="I945">
        <v>0</v>
      </c>
      <c r="J945" t="s">
        <v>53</v>
      </c>
      <c r="K945" s="1">
        <v>43316</v>
      </c>
      <c r="L945" t="s">
        <v>43</v>
      </c>
      <c r="M945" t="s">
        <v>47</v>
      </c>
      <c r="N945" s="1">
        <v>44197</v>
      </c>
      <c r="O945">
        <v>18</v>
      </c>
      <c r="P945" t="s">
        <v>2403</v>
      </c>
      <c r="Q945" t="s">
        <v>32</v>
      </c>
      <c r="R945">
        <v>126.07</v>
      </c>
      <c r="S945">
        <v>26.26</v>
      </c>
      <c r="T945">
        <v>3.07</v>
      </c>
      <c r="U945" t="s">
        <v>32</v>
      </c>
      <c r="V945" t="s">
        <v>32</v>
      </c>
      <c r="X945" t="s">
        <v>32</v>
      </c>
      <c r="Y945">
        <v>0</v>
      </c>
      <c r="Z945">
        <v>2.12</v>
      </c>
      <c r="AA945">
        <v>1.64</v>
      </c>
      <c r="AB945">
        <v>6.73</v>
      </c>
    </row>
    <row r="946" spans="1:28" hidden="1" x14ac:dyDescent="0.2">
      <c r="A946" t="s">
        <v>2045</v>
      </c>
      <c r="B946" t="s">
        <v>2046</v>
      </c>
      <c r="L946" t="s">
        <v>35</v>
      </c>
      <c r="M946" t="s">
        <v>326</v>
      </c>
      <c r="N946" s="1">
        <v>44193</v>
      </c>
      <c r="Q946">
        <v>4.3</v>
      </c>
      <c r="R946">
        <v>4.49</v>
      </c>
      <c r="S946">
        <v>2.95</v>
      </c>
      <c r="T946">
        <v>10.69</v>
      </c>
      <c r="U946">
        <v>7.25</v>
      </c>
      <c r="V946">
        <v>7.58</v>
      </c>
      <c r="Y946">
        <v>0</v>
      </c>
      <c r="Z946">
        <v>26.86</v>
      </c>
      <c r="AA946">
        <v>0.74</v>
      </c>
      <c r="AB946">
        <v>13.54</v>
      </c>
    </row>
    <row r="947" spans="1:28" hidden="1" x14ac:dyDescent="0.2">
      <c r="A947" t="s">
        <v>1879</v>
      </c>
      <c r="B947" t="s">
        <v>1880</v>
      </c>
    </row>
    <row r="948" spans="1:28" hidden="1" x14ac:dyDescent="0.2">
      <c r="A948" t="s">
        <v>2049</v>
      </c>
      <c r="B948" t="s">
        <v>2050</v>
      </c>
      <c r="H948">
        <v>1</v>
      </c>
      <c r="I948">
        <v>0</v>
      </c>
      <c r="J948" t="s">
        <v>68</v>
      </c>
      <c r="L948" t="s">
        <v>95</v>
      </c>
      <c r="M948" t="s">
        <v>520</v>
      </c>
    </row>
    <row r="949" spans="1:28" hidden="1" x14ac:dyDescent="0.2">
      <c r="A949" t="s">
        <v>1515</v>
      </c>
      <c r="B949" t="s">
        <v>1516</v>
      </c>
      <c r="L949" t="s">
        <v>43</v>
      </c>
      <c r="M949" t="s">
        <v>47</v>
      </c>
    </row>
    <row r="950" spans="1:28" hidden="1" x14ac:dyDescent="0.2">
      <c r="A950" t="s">
        <v>1885</v>
      </c>
      <c r="B950" t="s">
        <v>1886</v>
      </c>
    </row>
    <row r="951" spans="1:28" hidden="1" x14ac:dyDescent="0.2">
      <c r="A951" t="s">
        <v>1887</v>
      </c>
      <c r="B951" t="s">
        <v>1888</v>
      </c>
    </row>
    <row r="952" spans="1:28" hidden="1" x14ac:dyDescent="0.2">
      <c r="A952" t="s">
        <v>2057</v>
      </c>
      <c r="B952" t="s">
        <v>2058</v>
      </c>
      <c r="L952" t="s">
        <v>30</v>
      </c>
      <c r="M952" t="s">
        <v>369</v>
      </c>
      <c r="N952" s="1">
        <v>44193</v>
      </c>
      <c r="Q952">
        <v>0.93</v>
      </c>
      <c r="R952">
        <v>2.4300000000000002</v>
      </c>
      <c r="S952">
        <v>-10.72</v>
      </c>
      <c r="T952">
        <v>35.549999999999997</v>
      </c>
      <c r="U952">
        <v>-9.24</v>
      </c>
      <c r="V952">
        <v>-0.27</v>
      </c>
      <c r="Y952">
        <v>0</v>
      </c>
      <c r="Z952">
        <v>-24.72</v>
      </c>
      <c r="AA952">
        <v>-5.45</v>
      </c>
      <c r="AB952">
        <v>-10.119999999999999</v>
      </c>
    </row>
    <row r="953" spans="1:28" hidden="1" x14ac:dyDescent="0.2">
      <c r="A953" t="s">
        <v>2059</v>
      </c>
      <c r="B953" t="s">
        <v>2060</v>
      </c>
      <c r="F953">
        <v>47</v>
      </c>
      <c r="G953">
        <v>3.5</v>
      </c>
      <c r="H953">
        <v>1</v>
      </c>
      <c r="I953">
        <v>0</v>
      </c>
      <c r="K953" s="1">
        <v>43716</v>
      </c>
      <c r="L953" t="s">
        <v>95</v>
      </c>
      <c r="M953" t="s">
        <v>117</v>
      </c>
      <c r="N953" s="1">
        <v>44193</v>
      </c>
      <c r="Q953">
        <v>1.67</v>
      </c>
      <c r="R953">
        <v>27.86</v>
      </c>
      <c r="S953">
        <v>9.67</v>
      </c>
      <c r="T953">
        <v>14.46</v>
      </c>
      <c r="U953">
        <v>14.09</v>
      </c>
      <c r="V953" t="s">
        <v>32</v>
      </c>
      <c r="Y953">
        <v>1.8</v>
      </c>
      <c r="Z953">
        <v>-1.98</v>
      </c>
      <c r="AA953">
        <v>-1.24</v>
      </c>
      <c r="AB953">
        <v>-2.42</v>
      </c>
    </row>
    <row r="954" spans="1:28" hidden="1" x14ac:dyDescent="0.2">
      <c r="A954" t="s">
        <v>215</v>
      </c>
      <c r="B954" t="s">
        <v>216</v>
      </c>
      <c r="L954" t="s">
        <v>43</v>
      </c>
      <c r="M954" t="s">
        <v>169</v>
      </c>
      <c r="N954" s="1">
        <v>44197</v>
      </c>
      <c r="O954">
        <v>-2001</v>
      </c>
      <c r="P954" t="s">
        <v>2403</v>
      </c>
      <c r="Q954" t="s">
        <v>32</v>
      </c>
      <c r="R954">
        <v>-19.079999999999998</v>
      </c>
      <c r="S954">
        <v>-41.28</v>
      </c>
      <c r="T954">
        <v>-22.48</v>
      </c>
      <c r="U954">
        <v>-10.99</v>
      </c>
      <c r="V954">
        <v>-2.78</v>
      </c>
      <c r="X954">
        <v>275</v>
      </c>
      <c r="Y954" t="s">
        <v>2403</v>
      </c>
      <c r="Z954">
        <v>-13.45</v>
      </c>
      <c r="AA954">
        <v>-15.88</v>
      </c>
      <c r="AB954">
        <v>-322.48</v>
      </c>
    </row>
    <row r="955" spans="1:28" hidden="1" x14ac:dyDescent="0.2">
      <c r="A955" t="s">
        <v>2063</v>
      </c>
      <c r="B955" t="s">
        <v>2064</v>
      </c>
      <c r="H955">
        <v>1</v>
      </c>
      <c r="I955">
        <v>0</v>
      </c>
      <c r="J955" t="s">
        <v>68</v>
      </c>
      <c r="K955" s="1">
        <v>43316</v>
      </c>
      <c r="L955" t="s">
        <v>95</v>
      </c>
      <c r="M955" t="s">
        <v>187</v>
      </c>
      <c r="N955" s="1">
        <v>44193</v>
      </c>
      <c r="O955">
        <v>713</v>
      </c>
      <c r="Q955">
        <v>0.36</v>
      </c>
      <c r="R955">
        <v>72.89</v>
      </c>
      <c r="S955">
        <v>41.02</v>
      </c>
      <c r="T955">
        <v>41.22</v>
      </c>
      <c r="U955">
        <v>23.72</v>
      </c>
      <c r="V955">
        <v>15.07</v>
      </c>
      <c r="X955">
        <v>361</v>
      </c>
      <c r="Y955">
        <v>0</v>
      </c>
      <c r="Z955">
        <v>23.63</v>
      </c>
      <c r="AA955">
        <v>23.24</v>
      </c>
      <c r="AB955">
        <v>41.02</v>
      </c>
    </row>
    <row r="956" spans="1:28" hidden="1" x14ac:dyDescent="0.2">
      <c r="A956" t="s">
        <v>693</v>
      </c>
      <c r="B956" t="s">
        <v>694</v>
      </c>
      <c r="H956">
        <v>1</v>
      </c>
      <c r="I956">
        <v>0</v>
      </c>
      <c r="K956" s="1">
        <v>43316</v>
      </c>
      <c r="L956" t="s">
        <v>26</v>
      </c>
      <c r="M956" t="s">
        <v>530</v>
      </c>
      <c r="N956" s="1">
        <v>44197</v>
      </c>
      <c r="O956">
        <v>-4031</v>
      </c>
      <c r="P956" t="s">
        <v>2403</v>
      </c>
      <c r="Q956" t="s">
        <v>32</v>
      </c>
      <c r="R956">
        <v>-1.53</v>
      </c>
      <c r="S956">
        <v>-20.14</v>
      </c>
      <c r="T956">
        <v>-28.98</v>
      </c>
      <c r="U956">
        <v>-10.19</v>
      </c>
      <c r="V956">
        <v>-4.99</v>
      </c>
      <c r="X956">
        <v>936</v>
      </c>
      <c r="Y956">
        <v>0.7</v>
      </c>
      <c r="Z956">
        <v>-24.18</v>
      </c>
      <c r="AA956">
        <v>-7.54</v>
      </c>
      <c r="AB956">
        <v>-34.479999999999997</v>
      </c>
    </row>
    <row r="957" spans="1:28" hidden="1" x14ac:dyDescent="0.2">
      <c r="A957" t="s">
        <v>2067</v>
      </c>
      <c r="B957" t="s">
        <v>2068</v>
      </c>
      <c r="F957">
        <v>17</v>
      </c>
      <c r="H957">
        <v>1</v>
      </c>
      <c r="I957">
        <v>0</v>
      </c>
      <c r="K957" s="1">
        <v>43316</v>
      </c>
      <c r="L957" t="s">
        <v>39</v>
      </c>
      <c r="M957" t="s">
        <v>60</v>
      </c>
      <c r="N957" s="1">
        <v>44193</v>
      </c>
      <c r="Q957">
        <v>0.61</v>
      </c>
      <c r="R957">
        <v>-53.07</v>
      </c>
      <c r="S957">
        <v>-22.44</v>
      </c>
      <c r="T957">
        <v>-17.579999999999998</v>
      </c>
      <c r="U957">
        <v>-11.2</v>
      </c>
      <c r="V957">
        <v>-2.04</v>
      </c>
      <c r="Y957">
        <v>0</v>
      </c>
    </row>
    <row r="958" spans="1:28" hidden="1" x14ac:dyDescent="0.2">
      <c r="A958" t="s">
        <v>2069</v>
      </c>
      <c r="B958" t="s">
        <v>2070</v>
      </c>
      <c r="F958">
        <v>49</v>
      </c>
      <c r="H958">
        <v>1</v>
      </c>
      <c r="I958">
        <v>0</v>
      </c>
      <c r="K958" s="1">
        <v>43316</v>
      </c>
      <c r="L958" t="s">
        <v>43</v>
      </c>
      <c r="M958" t="s">
        <v>192</v>
      </c>
      <c r="N958" s="1">
        <v>44193</v>
      </c>
      <c r="Q958">
        <v>1.94</v>
      </c>
      <c r="R958">
        <v>-18.72</v>
      </c>
      <c r="S958">
        <v>0</v>
      </c>
      <c r="T958">
        <v>-1.96</v>
      </c>
      <c r="U958">
        <v>7.68</v>
      </c>
      <c r="V958">
        <v>-3.31</v>
      </c>
      <c r="Y958">
        <v>0.9</v>
      </c>
      <c r="Z958">
        <v>11.97</v>
      </c>
      <c r="AA958">
        <v>4.66</v>
      </c>
      <c r="AB958">
        <v>19.420000000000002</v>
      </c>
    </row>
    <row r="959" spans="1:28" hidden="1" x14ac:dyDescent="0.2">
      <c r="A959" t="s">
        <v>2071</v>
      </c>
      <c r="B959" t="s">
        <v>2072</v>
      </c>
      <c r="F959">
        <v>47</v>
      </c>
      <c r="H959">
        <v>0</v>
      </c>
      <c r="I959">
        <v>0</v>
      </c>
      <c r="K959" s="1">
        <v>43316</v>
      </c>
      <c r="L959" t="s">
        <v>99</v>
      </c>
      <c r="M959" t="s">
        <v>621</v>
      </c>
      <c r="N959" s="1">
        <v>44193</v>
      </c>
      <c r="Q959">
        <v>1.49</v>
      </c>
      <c r="R959">
        <v>38.369999999999997</v>
      </c>
      <c r="S959">
        <v>40.76</v>
      </c>
      <c r="T959">
        <v>20.66</v>
      </c>
      <c r="U959">
        <v>12.47</v>
      </c>
      <c r="V959">
        <v>8.86</v>
      </c>
      <c r="Y959">
        <v>1.8</v>
      </c>
      <c r="Z959">
        <v>4.3099999999999996</v>
      </c>
      <c r="AA959">
        <v>8.1</v>
      </c>
      <c r="AB959">
        <v>30.74</v>
      </c>
    </row>
    <row r="960" spans="1:28" hidden="1" x14ac:dyDescent="0.2">
      <c r="A960" t="s">
        <v>1152</v>
      </c>
      <c r="B960" t="s">
        <v>1153</v>
      </c>
      <c r="L960" t="s">
        <v>26</v>
      </c>
      <c r="M960" t="s">
        <v>759</v>
      </c>
      <c r="N960" s="1">
        <v>44197</v>
      </c>
      <c r="O960">
        <v>-35</v>
      </c>
      <c r="P960" t="s">
        <v>2403</v>
      </c>
      <c r="Q960" t="s">
        <v>32</v>
      </c>
      <c r="R960">
        <v>5</v>
      </c>
      <c r="S960">
        <v>38.1</v>
      </c>
      <c r="T960">
        <v>5.67</v>
      </c>
      <c r="U960">
        <v>4.08</v>
      </c>
      <c r="V960">
        <v>1.78</v>
      </c>
      <c r="X960" t="s">
        <v>32</v>
      </c>
      <c r="Y960">
        <v>0.9</v>
      </c>
      <c r="Z960" t="s">
        <v>2403</v>
      </c>
      <c r="AA960" t="s">
        <v>2403</v>
      </c>
      <c r="AB960" t="s">
        <v>2403</v>
      </c>
    </row>
    <row r="961" spans="1:28" hidden="1" x14ac:dyDescent="0.2">
      <c r="A961" t="s">
        <v>2075</v>
      </c>
      <c r="B961" t="s">
        <v>2076</v>
      </c>
      <c r="L961" t="s">
        <v>43</v>
      </c>
      <c r="M961" t="s">
        <v>1087</v>
      </c>
      <c r="N961" s="1">
        <v>44193</v>
      </c>
      <c r="Q961">
        <v>1.67</v>
      </c>
      <c r="R961">
        <v>37.67</v>
      </c>
      <c r="S961">
        <v>-11.1</v>
      </c>
      <c r="T961">
        <v>14.07</v>
      </c>
      <c r="U961">
        <v>12.76</v>
      </c>
      <c r="V961">
        <v>7.54</v>
      </c>
      <c r="Y961">
        <v>0</v>
      </c>
      <c r="Z961">
        <v>3.34</v>
      </c>
      <c r="AA961">
        <v>4.9800000000000004</v>
      </c>
      <c r="AB961">
        <v>12.68</v>
      </c>
    </row>
    <row r="962" spans="1:28" hidden="1" x14ac:dyDescent="0.2">
      <c r="A962" t="s">
        <v>1193</v>
      </c>
      <c r="B962" t="s">
        <v>1194</v>
      </c>
      <c r="L962" t="s">
        <v>99</v>
      </c>
      <c r="M962" t="s">
        <v>457</v>
      </c>
      <c r="N962" s="1">
        <v>44197</v>
      </c>
      <c r="O962">
        <v>-5</v>
      </c>
      <c r="P962" t="s">
        <v>2403</v>
      </c>
      <c r="Q962" t="s">
        <v>32</v>
      </c>
      <c r="R962">
        <v>-12.39</v>
      </c>
      <c r="S962">
        <v>-4.9400000000000004</v>
      </c>
      <c r="T962">
        <v>-11.54</v>
      </c>
      <c r="U962">
        <v>-1.83</v>
      </c>
      <c r="V962">
        <v>5.62</v>
      </c>
      <c r="X962" t="s">
        <v>32</v>
      </c>
      <c r="Y962">
        <v>1.9</v>
      </c>
      <c r="Z962">
        <v>-0.12</v>
      </c>
      <c r="AA962">
        <v>-0.1</v>
      </c>
      <c r="AB962">
        <v>-0.28000000000000003</v>
      </c>
    </row>
    <row r="963" spans="1:28" hidden="1" x14ac:dyDescent="0.2">
      <c r="A963" t="s">
        <v>2079</v>
      </c>
      <c r="B963" t="s">
        <v>2080</v>
      </c>
      <c r="F963">
        <v>46</v>
      </c>
      <c r="H963">
        <v>1</v>
      </c>
      <c r="I963">
        <v>0</v>
      </c>
      <c r="K963" s="1">
        <v>43316</v>
      </c>
      <c r="L963" t="s">
        <v>43</v>
      </c>
      <c r="M963" t="s">
        <v>2081</v>
      </c>
      <c r="N963" s="1">
        <v>44193</v>
      </c>
      <c r="Q963">
        <v>1.76</v>
      </c>
      <c r="R963">
        <v>-0.08</v>
      </c>
      <c r="S963">
        <v>10.28</v>
      </c>
      <c r="T963">
        <v>12.98</v>
      </c>
      <c r="U963">
        <v>8.73</v>
      </c>
      <c r="V963">
        <v>9.44</v>
      </c>
      <c r="Y963">
        <v>4.9000000000000004</v>
      </c>
      <c r="Z963">
        <v>7.84</v>
      </c>
      <c r="AA963">
        <v>4.3600000000000003</v>
      </c>
      <c r="AB963">
        <v>8.99</v>
      </c>
    </row>
    <row r="964" spans="1:28" hidden="1" x14ac:dyDescent="0.2">
      <c r="A964" t="s">
        <v>1893</v>
      </c>
      <c r="B964" t="s">
        <v>1894</v>
      </c>
    </row>
    <row r="965" spans="1:28" hidden="1" x14ac:dyDescent="0.2">
      <c r="A965" t="s">
        <v>83</v>
      </c>
      <c r="B965" t="s">
        <v>84</v>
      </c>
      <c r="F965">
        <v>40</v>
      </c>
      <c r="H965">
        <v>1</v>
      </c>
      <c r="I965">
        <v>0</v>
      </c>
      <c r="K965" s="1">
        <v>43316</v>
      </c>
      <c r="L965" t="s">
        <v>43</v>
      </c>
      <c r="M965" t="s">
        <v>85</v>
      </c>
    </row>
    <row r="966" spans="1:28" hidden="1" x14ac:dyDescent="0.2">
      <c r="A966" t="s">
        <v>2085</v>
      </c>
      <c r="B966" t="s">
        <v>2086</v>
      </c>
      <c r="N966" s="1">
        <v>44193</v>
      </c>
      <c r="Q966">
        <v>2.41</v>
      </c>
      <c r="R966">
        <v>-8.06</v>
      </c>
      <c r="S966">
        <v>-15.5</v>
      </c>
      <c r="T966">
        <v>-4.46</v>
      </c>
      <c r="U966">
        <v>-6.56</v>
      </c>
      <c r="V966">
        <v>-0.77</v>
      </c>
      <c r="Y966">
        <v>0</v>
      </c>
      <c r="Z966">
        <v>13.22</v>
      </c>
      <c r="AA966">
        <v>7.61</v>
      </c>
      <c r="AB966">
        <v>19.600000000000001</v>
      </c>
    </row>
    <row r="967" spans="1:28" hidden="1" x14ac:dyDescent="0.2">
      <c r="A967" t="s">
        <v>2291</v>
      </c>
      <c r="B967" t="s">
        <v>2292</v>
      </c>
      <c r="N967" s="1">
        <v>44197</v>
      </c>
      <c r="O967">
        <v>-487</v>
      </c>
      <c r="P967" t="s">
        <v>2403</v>
      </c>
      <c r="Q967" t="s">
        <v>32</v>
      </c>
      <c r="R967">
        <v>-51.78</v>
      </c>
      <c r="S967" t="s">
        <v>32</v>
      </c>
      <c r="T967" t="s">
        <v>32</v>
      </c>
      <c r="U967" t="s">
        <v>32</v>
      </c>
      <c r="V967" t="s">
        <v>32</v>
      </c>
      <c r="X967">
        <v>4</v>
      </c>
      <c r="Y967">
        <v>0</v>
      </c>
      <c r="Z967">
        <v>-242.6</v>
      </c>
      <c r="AA967">
        <v>-50.56</v>
      </c>
      <c r="AB967">
        <v>-161.76</v>
      </c>
    </row>
    <row r="968" spans="1:28" hidden="1" x14ac:dyDescent="0.2">
      <c r="A968" t="s">
        <v>1897</v>
      </c>
      <c r="B968" t="s">
        <v>1898</v>
      </c>
    </row>
    <row r="969" spans="1:28" hidden="1" x14ac:dyDescent="0.2">
      <c r="A969" t="s">
        <v>2093</v>
      </c>
      <c r="B969" t="s">
        <v>2094</v>
      </c>
      <c r="H969">
        <v>1</v>
      </c>
      <c r="I969">
        <v>0</v>
      </c>
      <c r="J969" t="s">
        <v>68</v>
      </c>
      <c r="K969" s="1">
        <v>43316</v>
      </c>
      <c r="L969" t="s">
        <v>213</v>
      </c>
      <c r="M969" t="s">
        <v>214</v>
      </c>
    </row>
    <row r="970" spans="1:28" hidden="1" x14ac:dyDescent="0.2">
      <c r="A970" t="s">
        <v>2095</v>
      </c>
      <c r="B970" t="s">
        <v>2096</v>
      </c>
      <c r="L970" t="s">
        <v>43</v>
      </c>
      <c r="M970" t="s">
        <v>713</v>
      </c>
      <c r="N970" s="1">
        <v>44193</v>
      </c>
      <c r="Q970">
        <v>0.93</v>
      </c>
      <c r="R970">
        <v>15.7</v>
      </c>
      <c r="S970">
        <v>-0.27</v>
      </c>
      <c r="T970">
        <v>6.71</v>
      </c>
      <c r="U970">
        <v>9.2899999999999991</v>
      </c>
      <c r="V970">
        <v>1.91</v>
      </c>
      <c r="Y970">
        <v>0.5</v>
      </c>
      <c r="Z970">
        <v>6.31</v>
      </c>
      <c r="AA970">
        <v>4.08</v>
      </c>
      <c r="AB970">
        <v>8.98</v>
      </c>
    </row>
    <row r="971" spans="1:28" hidden="1" x14ac:dyDescent="0.2">
      <c r="A971" t="s">
        <v>2097</v>
      </c>
      <c r="B971" t="s">
        <v>2098</v>
      </c>
      <c r="L971" t="s">
        <v>43</v>
      </c>
      <c r="M971" t="s">
        <v>507</v>
      </c>
      <c r="N971" s="1">
        <v>44193</v>
      </c>
      <c r="R971">
        <v>-18.3</v>
      </c>
      <c r="S971">
        <v>-37.520000000000003</v>
      </c>
      <c r="T971">
        <v>-35.17</v>
      </c>
      <c r="U971" t="s">
        <v>32</v>
      </c>
      <c r="V971" t="s">
        <v>32</v>
      </c>
      <c r="Y971">
        <v>0</v>
      </c>
      <c r="Z971">
        <v>-37.54</v>
      </c>
      <c r="AA971">
        <v>-12.01</v>
      </c>
      <c r="AB971">
        <v>-26.28</v>
      </c>
    </row>
    <row r="972" spans="1:28" hidden="1" x14ac:dyDescent="0.2">
      <c r="A972" t="s">
        <v>2099</v>
      </c>
      <c r="B972" t="s">
        <v>2100</v>
      </c>
      <c r="L972" t="s">
        <v>43</v>
      </c>
      <c r="M972" t="s">
        <v>2081</v>
      </c>
      <c r="N972" s="1">
        <v>44193</v>
      </c>
      <c r="R972">
        <v>16.63</v>
      </c>
      <c r="S972">
        <v>-8.6</v>
      </c>
      <c r="T972">
        <v>2.2999999999999998</v>
      </c>
      <c r="U972">
        <v>-2.69</v>
      </c>
      <c r="V972">
        <v>1.75</v>
      </c>
      <c r="Y972">
        <v>0.5</v>
      </c>
      <c r="Z972">
        <v>-9.2200000000000006</v>
      </c>
      <c r="AA972">
        <v>-5.31</v>
      </c>
      <c r="AB972">
        <v>-15.68</v>
      </c>
    </row>
    <row r="973" spans="1:28" hidden="1" x14ac:dyDescent="0.2">
      <c r="A973" t="s">
        <v>853</v>
      </c>
      <c r="B973" t="s">
        <v>854</v>
      </c>
      <c r="L973" t="s">
        <v>43</v>
      </c>
      <c r="M973" t="s">
        <v>435</v>
      </c>
      <c r="N973" s="1">
        <v>44197</v>
      </c>
      <c r="O973">
        <v>250</v>
      </c>
      <c r="P973" t="s">
        <v>2403</v>
      </c>
      <c r="Q973" t="s">
        <v>32</v>
      </c>
      <c r="R973">
        <v>24.05</v>
      </c>
      <c r="S973">
        <v>19.88</v>
      </c>
      <c r="T973">
        <v>8.92</v>
      </c>
      <c r="U973">
        <v>10.43</v>
      </c>
      <c r="V973">
        <v>16.14</v>
      </c>
      <c r="X973" t="s">
        <v>32</v>
      </c>
      <c r="Y973">
        <v>0</v>
      </c>
      <c r="Z973">
        <v>7.17</v>
      </c>
      <c r="AA973">
        <v>7.63</v>
      </c>
      <c r="AB973">
        <v>64.19</v>
      </c>
    </row>
    <row r="974" spans="1:28" hidden="1" x14ac:dyDescent="0.2">
      <c r="A974" s="2" t="s">
        <v>1919</v>
      </c>
      <c r="B974" t="s">
        <v>1920</v>
      </c>
    </row>
    <row r="975" spans="1:28" hidden="1" x14ac:dyDescent="0.2">
      <c r="A975" t="s">
        <v>2105</v>
      </c>
      <c r="B975" t="s">
        <v>2106</v>
      </c>
      <c r="L975" t="s">
        <v>226</v>
      </c>
      <c r="M975" t="s">
        <v>386</v>
      </c>
      <c r="N975" s="1">
        <v>44193</v>
      </c>
      <c r="Q975">
        <v>5.15</v>
      </c>
      <c r="R975">
        <v>-33.659999999999997</v>
      </c>
      <c r="S975">
        <v>-10.78</v>
      </c>
      <c r="T975">
        <v>9.74</v>
      </c>
      <c r="U975">
        <v>6.87</v>
      </c>
      <c r="V975" t="s">
        <v>32</v>
      </c>
      <c r="Y975">
        <v>0</v>
      </c>
      <c r="Z975">
        <v>-22.4</v>
      </c>
      <c r="AA975">
        <v>-10.46</v>
      </c>
      <c r="AB975">
        <v>-44.85</v>
      </c>
    </row>
    <row r="976" spans="1:28" hidden="1" x14ac:dyDescent="0.2">
      <c r="A976" t="s">
        <v>1076</v>
      </c>
      <c r="B976" t="s">
        <v>1077</v>
      </c>
      <c r="F976">
        <v>38</v>
      </c>
      <c r="H976">
        <v>0</v>
      </c>
      <c r="I976">
        <v>0</v>
      </c>
      <c r="K976" s="1">
        <v>43316</v>
      </c>
      <c r="L976" t="s">
        <v>43</v>
      </c>
      <c r="M976" t="s">
        <v>507</v>
      </c>
      <c r="N976" s="1">
        <v>44197</v>
      </c>
      <c r="O976">
        <v>-201</v>
      </c>
      <c r="P976" t="s">
        <v>2403</v>
      </c>
      <c r="Q976" t="s">
        <v>32</v>
      </c>
      <c r="R976">
        <v>-5.27</v>
      </c>
      <c r="S976">
        <v>-2.15</v>
      </c>
      <c r="T976">
        <v>-17.649999999999999</v>
      </c>
      <c r="U976" t="s">
        <v>32</v>
      </c>
      <c r="V976" t="s">
        <v>32</v>
      </c>
      <c r="X976" t="s">
        <v>32</v>
      </c>
      <c r="Y976">
        <v>20.100000000000001</v>
      </c>
      <c r="Z976">
        <v>-24.42</v>
      </c>
      <c r="AA976">
        <v>-9.01</v>
      </c>
      <c r="AB976">
        <v>-15.73</v>
      </c>
    </row>
    <row r="977" spans="1:28" hidden="1" x14ac:dyDescent="0.2">
      <c r="A977" s="2" t="s">
        <v>64</v>
      </c>
      <c r="B977" t="s">
        <v>65</v>
      </c>
      <c r="F977">
        <v>42</v>
      </c>
      <c r="H977">
        <v>1</v>
      </c>
      <c r="I977">
        <v>0</v>
      </c>
      <c r="K977" s="1">
        <v>43316</v>
      </c>
      <c r="L977" t="s">
        <v>39</v>
      </c>
      <c r="M977" t="s">
        <v>60</v>
      </c>
    </row>
    <row r="978" spans="1:28" hidden="1" x14ac:dyDescent="0.2">
      <c r="A978" t="s">
        <v>2111</v>
      </c>
      <c r="B978" t="s">
        <v>2112</v>
      </c>
      <c r="N978" s="1">
        <v>44193</v>
      </c>
      <c r="Q978">
        <v>5.38</v>
      </c>
      <c r="R978">
        <v>-19.739999999999998</v>
      </c>
      <c r="S978">
        <v>-1.1200000000000001</v>
      </c>
      <c r="T978">
        <v>8.92</v>
      </c>
      <c r="U978">
        <v>4.4800000000000004</v>
      </c>
      <c r="V978">
        <v>5.1100000000000003</v>
      </c>
      <c r="Y978">
        <v>0</v>
      </c>
      <c r="Z978">
        <v>34.25</v>
      </c>
      <c r="AA978">
        <v>4.41</v>
      </c>
      <c r="AB978">
        <v>16.21</v>
      </c>
    </row>
    <row r="979" spans="1:28" hidden="1" x14ac:dyDescent="0.2">
      <c r="A979" t="s">
        <v>2113</v>
      </c>
      <c r="B979" t="s">
        <v>2114</v>
      </c>
      <c r="F979">
        <v>71</v>
      </c>
      <c r="H979">
        <v>1</v>
      </c>
      <c r="I979">
        <v>0</v>
      </c>
      <c r="K979" s="1">
        <v>43316</v>
      </c>
      <c r="L979" t="s">
        <v>35</v>
      </c>
      <c r="M979" t="s">
        <v>129</v>
      </c>
      <c r="N979" s="1">
        <v>44193</v>
      </c>
      <c r="Q979">
        <v>2.58</v>
      </c>
      <c r="R979">
        <v>4.21</v>
      </c>
      <c r="S979">
        <v>3.13</v>
      </c>
      <c r="T979">
        <v>6.33</v>
      </c>
      <c r="U979">
        <v>11.42</v>
      </c>
      <c r="V979">
        <v>9.34</v>
      </c>
      <c r="Y979">
        <v>1.3</v>
      </c>
      <c r="Z979">
        <v>7.09</v>
      </c>
      <c r="AA979">
        <v>1.98</v>
      </c>
      <c r="AB979">
        <v>8.4</v>
      </c>
    </row>
    <row r="980" spans="1:28" hidden="1" x14ac:dyDescent="0.2">
      <c r="A980" t="s">
        <v>2316</v>
      </c>
      <c r="B980" t="s">
        <v>2317</v>
      </c>
      <c r="N980" s="1">
        <v>44197</v>
      </c>
      <c r="O980">
        <v>-59</v>
      </c>
      <c r="P980" t="s">
        <v>2403</v>
      </c>
      <c r="Q980" t="s">
        <v>32</v>
      </c>
      <c r="R980">
        <v>-57.48</v>
      </c>
      <c r="S980">
        <v>-70.790000000000006</v>
      </c>
      <c r="T980">
        <v>-54.55</v>
      </c>
      <c r="U980">
        <v>-40.4</v>
      </c>
      <c r="V980">
        <v>-30.17</v>
      </c>
      <c r="X980">
        <v>18</v>
      </c>
      <c r="Y980">
        <v>0</v>
      </c>
      <c r="Z980" t="s">
        <v>2403</v>
      </c>
      <c r="AA980" t="s">
        <v>2403</v>
      </c>
      <c r="AB980" t="s">
        <v>2403</v>
      </c>
    </row>
    <row r="981" spans="1:28" hidden="1" x14ac:dyDescent="0.2">
      <c r="A981" t="s">
        <v>2117</v>
      </c>
      <c r="B981" t="s">
        <v>2118</v>
      </c>
      <c r="L981" t="s">
        <v>226</v>
      </c>
      <c r="M981" t="s">
        <v>366</v>
      </c>
      <c r="N981" s="1">
        <v>44193</v>
      </c>
      <c r="Q981">
        <v>2.64</v>
      </c>
      <c r="R981">
        <v>-27.41</v>
      </c>
      <c r="S981">
        <v>-17.420000000000002</v>
      </c>
      <c r="T981">
        <v>-4.17</v>
      </c>
      <c r="U981">
        <v>-6.89</v>
      </c>
      <c r="V981">
        <v>1.1200000000000001</v>
      </c>
      <c r="Y981">
        <v>0</v>
      </c>
      <c r="Z981">
        <v>-10.24</v>
      </c>
      <c r="AA981">
        <v>-4.08</v>
      </c>
      <c r="AB981">
        <v>-5.09</v>
      </c>
    </row>
    <row r="982" spans="1:28" hidden="1" x14ac:dyDescent="0.2">
      <c r="A982" t="s">
        <v>1944</v>
      </c>
      <c r="B982" t="s">
        <v>1945</v>
      </c>
    </row>
    <row r="983" spans="1:28" hidden="1" x14ac:dyDescent="0.2">
      <c r="A983" t="s">
        <v>1964</v>
      </c>
      <c r="B983" t="s">
        <v>1965</v>
      </c>
    </row>
    <row r="984" spans="1:28" hidden="1" x14ac:dyDescent="0.2">
      <c r="A984" t="s">
        <v>2123</v>
      </c>
      <c r="B984" t="s">
        <v>2124</v>
      </c>
      <c r="N984" s="1">
        <v>44193</v>
      </c>
      <c r="Q984">
        <v>7.86</v>
      </c>
      <c r="R984">
        <v>6.93</v>
      </c>
      <c r="S984">
        <v>9.85</v>
      </c>
      <c r="T984">
        <v>12.1</v>
      </c>
      <c r="U984" t="s">
        <v>32</v>
      </c>
      <c r="V984" t="s">
        <v>32</v>
      </c>
      <c r="Y984">
        <v>0</v>
      </c>
      <c r="Z984">
        <v>86.14</v>
      </c>
      <c r="AA984">
        <v>7.71</v>
      </c>
      <c r="AB984">
        <v>14.43</v>
      </c>
    </row>
    <row r="985" spans="1:28" hidden="1" x14ac:dyDescent="0.2">
      <c r="A985" t="s">
        <v>1972</v>
      </c>
      <c r="B985" t="s">
        <v>1973</v>
      </c>
    </row>
    <row r="986" spans="1:28" hidden="1" x14ac:dyDescent="0.2">
      <c r="A986" t="s">
        <v>2127</v>
      </c>
      <c r="B986" t="s">
        <v>2128</v>
      </c>
      <c r="F986">
        <v>59</v>
      </c>
      <c r="H986">
        <v>0</v>
      </c>
      <c r="I986">
        <v>0</v>
      </c>
      <c r="K986" s="1">
        <v>43316</v>
      </c>
      <c r="L986" t="s">
        <v>99</v>
      </c>
      <c r="M986" t="s">
        <v>100</v>
      </c>
      <c r="N986" s="1">
        <v>44193</v>
      </c>
      <c r="Q986">
        <v>2.62</v>
      </c>
      <c r="R986">
        <v>-27.71</v>
      </c>
      <c r="S986">
        <v>-5.46</v>
      </c>
      <c r="T986">
        <v>5.66</v>
      </c>
      <c r="U986">
        <v>15.25</v>
      </c>
      <c r="V986">
        <v>10.06</v>
      </c>
      <c r="Y986">
        <v>1.2</v>
      </c>
      <c r="Z986">
        <v>4.96</v>
      </c>
      <c r="AA986">
        <v>6.31</v>
      </c>
      <c r="AB986">
        <v>14.49</v>
      </c>
    </row>
    <row r="987" spans="1:28" hidden="1" x14ac:dyDescent="0.2">
      <c r="A987" t="s">
        <v>1980</v>
      </c>
      <c r="B987" t="s">
        <v>1981</v>
      </c>
    </row>
    <row r="988" spans="1:28" hidden="1" x14ac:dyDescent="0.2">
      <c r="A988" t="s">
        <v>1982</v>
      </c>
      <c r="B988" t="s">
        <v>1983</v>
      </c>
    </row>
    <row r="989" spans="1:28" hidden="1" x14ac:dyDescent="0.2">
      <c r="A989" t="s">
        <v>2133</v>
      </c>
      <c r="B989" t="s">
        <v>2134</v>
      </c>
      <c r="J989" t="s">
        <v>68</v>
      </c>
    </row>
    <row r="990" spans="1:28" hidden="1" x14ac:dyDescent="0.2">
      <c r="A990" t="s">
        <v>2135</v>
      </c>
      <c r="B990" t="s">
        <v>2136</v>
      </c>
      <c r="J990" t="s">
        <v>68</v>
      </c>
      <c r="L990" t="s">
        <v>95</v>
      </c>
      <c r="M990" t="s">
        <v>923</v>
      </c>
    </row>
    <row r="991" spans="1:28" hidden="1" x14ac:dyDescent="0.2">
      <c r="A991" t="s">
        <v>1984</v>
      </c>
      <c r="B991" t="s">
        <v>1985</v>
      </c>
      <c r="H991">
        <v>1</v>
      </c>
      <c r="I991">
        <v>0</v>
      </c>
      <c r="K991" s="1">
        <v>43316</v>
      </c>
    </row>
    <row r="992" spans="1:28" hidden="1" x14ac:dyDescent="0.2">
      <c r="A992" t="s">
        <v>2139</v>
      </c>
      <c r="B992" t="s">
        <v>2140</v>
      </c>
      <c r="F992">
        <v>61</v>
      </c>
      <c r="H992">
        <v>1</v>
      </c>
      <c r="I992">
        <v>0</v>
      </c>
      <c r="K992" s="1">
        <v>43316</v>
      </c>
      <c r="L992" t="s">
        <v>213</v>
      </c>
      <c r="M992" t="s">
        <v>214</v>
      </c>
      <c r="N992" s="1">
        <v>44193</v>
      </c>
      <c r="Q992">
        <v>4.47</v>
      </c>
      <c r="R992">
        <v>8.18</v>
      </c>
      <c r="S992">
        <v>6</v>
      </c>
      <c r="T992">
        <v>11.48</v>
      </c>
      <c r="U992">
        <v>9.5</v>
      </c>
      <c r="V992">
        <v>7.39</v>
      </c>
      <c r="Y992">
        <v>0</v>
      </c>
      <c r="Z992">
        <v>8.7100000000000009</v>
      </c>
      <c r="AA992">
        <v>3.37</v>
      </c>
      <c r="AB992">
        <v>11.49</v>
      </c>
    </row>
    <row r="993" spans="1:28" hidden="1" x14ac:dyDescent="0.2">
      <c r="A993" t="s">
        <v>1199</v>
      </c>
      <c r="B993" t="s">
        <v>1200</v>
      </c>
      <c r="L993" t="s">
        <v>43</v>
      </c>
      <c r="M993" t="s">
        <v>405</v>
      </c>
      <c r="N993" s="1">
        <v>44197</v>
      </c>
      <c r="O993">
        <v>19</v>
      </c>
      <c r="P993" t="s">
        <v>2403</v>
      </c>
      <c r="Q993" t="s">
        <v>32</v>
      </c>
      <c r="R993">
        <v>277.51</v>
      </c>
      <c r="S993">
        <v>-16.95</v>
      </c>
      <c r="T993">
        <v>-5.76</v>
      </c>
      <c r="U993">
        <v>0.86</v>
      </c>
      <c r="V993">
        <v>6.36</v>
      </c>
      <c r="X993" t="s">
        <v>32</v>
      </c>
      <c r="Y993">
        <v>0</v>
      </c>
      <c r="Z993" t="s">
        <v>2403</v>
      </c>
      <c r="AA993" t="s">
        <v>2403</v>
      </c>
      <c r="AB993" t="s">
        <v>2403</v>
      </c>
    </row>
    <row r="994" spans="1:28" hidden="1" x14ac:dyDescent="0.2">
      <c r="A994" s="2" t="s">
        <v>2010</v>
      </c>
      <c r="B994" t="s">
        <v>2011</v>
      </c>
    </row>
    <row r="995" spans="1:28" hidden="1" x14ac:dyDescent="0.2">
      <c r="A995" s="2" t="s">
        <v>2012</v>
      </c>
      <c r="B995" t="s">
        <v>2013</v>
      </c>
    </row>
    <row r="996" spans="1:28" hidden="1" x14ac:dyDescent="0.2">
      <c r="A996" t="s">
        <v>2147</v>
      </c>
      <c r="B996" t="s">
        <v>2148</v>
      </c>
      <c r="F996">
        <v>64</v>
      </c>
      <c r="H996">
        <v>0</v>
      </c>
      <c r="I996">
        <v>0</v>
      </c>
      <c r="J996" t="s">
        <v>68</v>
      </c>
      <c r="K996" s="1">
        <v>43316</v>
      </c>
      <c r="L996" t="s">
        <v>95</v>
      </c>
      <c r="M996" t="s">
        <v>232</v>
      </c>
    </row>
    <row r="997" spans="1:28" hidden="1" x14ac:dyDescent="0.2">
      <c r="A997" t="s">
        <v>107</v>
      </c>
      <c r="B997" t="s">
        <v>108</v>
      </c>
      <c r="K997" s="1">
        <v>43716</v>
      </c>
      <c r="L997" t="s">
        <v>35</v>
      </c>
      <c r="M997" t="s">
        <v>50</v>
      </c>
    </row>
    <row r="998" spans="1:28" hidden="1" x14ac:dyDescent="0.2">
      <c r="A998" t="s">
        <v>2031</v>
      </c>
      <c r="B998" t="s">
        <v>2032</v>
      </c>
    </row>
    <row r="999" spans="1:28" hidden="1" x14ac:dyDescent="0.2">
      <c r="A999" t="s">
        <v>2151</v>
      </c>
      <c r="B999" t="s">
        <v>2152</v>
      </c>
      <c r="F999">
        <v>50</v>
      </c>
      <c r="H999">
        <v>1</v>
      </c>
      <c r="I999">
        <v>0</v>
      </c>
      <c r="K999" s="1">
        <v>43316</v>
      </c>
      <c r="L999" t="s">
        <v>39</v>
      </c>
      <c r="M999" t="s">
        <v>60</v>
      </c>
      <c r="N999" s="1">
        <v>44193</v>
      </c>
      <c r="Q999">
        <v>0.18</v>
      </c>
      <c r="R999">
        <v>6.9</v>
      </c>
      <c r="S999">
        <v>-5.23</v>
      </c>
      <c r="T999">
        <v>2.57</v>
      </c>
      <c r="U999">
        <v>7.44</v>
      </c>
      <c r="V999">
        <v>1.9</v>
      </c>
      <c r="Y999">
        <v>0</v>
      </c>
      <c r="Z999">
        <v>2.2599999999999998</v>
      </c>
      <c r="AA999">
        <v>1.76</v>
      </c>
      <c r="AB999">
        <v>4.8600000000000003</v>
      </c>
    </row>
    <row r="1000" spans="1:28" hidden="1" x14ac:dyDescent="0.2">
      <c r="A1000" t="s">
        <v>2153</v>
      </c>
      <c r="B1000" t="s">
        <v>2154</v>
      </c>
      <c r="F1000">
        <v>67</v>
      </c>
      <c r="H1000">
        <v>0</v>
      </c>
      <c r="I1000">
        <v>0</v>
      </c>
      <c r="K1000" s="1">
        <v>43316</v>
      </c>
      <c r="L1000" t="s">
        <v>43</v>
      </c>
      <c r="M1000" t="s">
        <v>85</v>
      </c>
      <c r="N1000" s="1">
        <v>44193</v>
      </c>
      <c r="R1000">
        <v>-22.29</v>
      </c>
      <c r="S1000">
        <v>1.9</v>
      </c>
      <c r="T1000" t="s">
        <v>32</v>
      </c>
      <c r="U1000" t="s">
        <v>32</v>
      </c>
      <c r="V1000" t="s">
        <v>32</v>
      </c>
      <c r="Y1000">
        <v>4.2</v>
      </c>
      <c r="Z1000">
        <v>-16.600000000000001</v>
      </c>
      <c r="AA1000">
        <v>-15.77</v>
      </c>
      <c r="AB1000">
        <v>-41.33</v>
      </c>
    </row>
    <row r="1001" spans="1:28" hidden="1" x14ac:dyDescent="0.2">
      <c r="A1001" t="s">
        <v>2155</v>
      </c>
      <c r="B1001" t="s">
        <v>2156</v>
      </c>
      <c r="F1001">
        <v>67</v>
      </c>
      <c r="H1001">
        <v>0</v>
      </c>
      <c r="I1001">
        <v>0</v>
      </c>
      <c r="J1001" t="s">
        <v>68</v>
      </c>
      <c r="K1001" s="1">
        <v>43316</v>
      </c>
      <c r="L1001" t="s">
        <v>39</v>
      </c>
      <c r="M1001" t="s">
        <v>40</v>
      </c>
    </row>
    <row r="1002" spans="1:28" hidden="1" x14ac:dyDescent="0.2">
      <c r="A1002" s="2" t="s">
        <v>2035</v>
      </c>
      <c r="B1002" t="s">
        <v>2036</v>
      </c>
      <c r="F1002">
        <v>66</v>
      </c>
      <c r="H1002">
        <v>1</v>
      </c>
      <c r="I1002">
        <v>0</v>
      </c>
      <c r="K1002" s="1">
        <v>43316</v>
      </c>
    </row>
    <row r="1003" spans="1:28" hidden="1" x14ac:dyDescent="0.2">
      <c r="A1003" t="s">
        <v>2159</v>
      </c>
      <c r="B1003" t="s">
        <v>2160</v>
      </c>
      <c r="L1003" t="s">
        <v>35</v>
      </c>
      <c r="M1003" t="s">
        <v>326</v>
      </c>
      <c r="N1003" s="1">
        <v>44193</v>
      </c>
      <c r="Q1003">
        <v>2.58</v>
      </c>
      <c r="R1003">
        <v>18.46</v>
      </c>
      <c r="S1003">
        <v>-4.22</v>
      </c>
      <c r="T1003">
        <v>-2.2599999999999998</v>
      </c>
      <c r="U1003">
        <v>1.44</v>
      </c>
      <c r="V1003">
        <v>-5.04</v>
      </c>
      <c r="Y1003">
        <v>0.9</v>
      </c>
      <c r="Z1003">
        <v>18.100000000000001</v>
      </c>
      <c r="AA1003">
        <v>0.55000000000000004</v>
      </c>
      <c r="AB1003">
        <v>9.76</v>
      </c>
    </row>
    <row r="1004" spans="1:28" hidden="1" x14ac:dyDescent="0.2">
      <c r="A1004" t="s">
        <v>2161</v>
      </c>
      <c r="B1004" t="s">
        <v>2162</v>
      </c>
      <c r="L1004" t="s">
        <v>35</v>
      </c>
      <c r="M1004" t="s">
        <v>235</v>
      </c>
      <c r="N1004" s="1">
        <v>44193</v>
      </c>
      <c r="Q1004">
        <v>4.78</v>
      </c>
      <c r="R1004">
        <v>-11.92</v>
      </c>
      <c r="S1004">
        <v>1.22</v>
      </c>
      <c r="T1004">
        <v>0.8</v>
      </c>
      <c r="U1004">
        <v>4.2300000000000004</v>
      </c>
      <c r="V1004">
        <v>2.37</v>
      </c>
      <c r="Y1004">
        <v>0</v>
      </c>
      <c r="Z1004">
        <v>27.96</v>
      </c>
      <c r="AA1004">
        <v>1.1399999999999999</v>
      </c>
      <c r="AB1004">
        <v>6.8</v>
      </c>
    </row>
    <row r="1005" spans="1:28" hidden="1" x14ac:dyDescent="0.2">
      <c r="A1005" t="s">
        <v>322</v>
      </c>
      <c r="B1005" t="s">
        <v>323</v>
      </c>
      <c r="L1005" t="s">
        <v>26</v>
      </c>
      <c r="M1005" t="s">
        <v>275</v>
      </c>
      <c r="N1005" s="1">
        <v>44197</v>
      </c>
      <c r="O1005">
        <v>-92</v>
      </c>
      <c r="P1005" t="s">
        <v>2403</v>
      </c>
      <c r="Q1005" t="s">
        <v>32</v>
      </c>
      <c r="R1005">
        <v>-27.32</v>
      </c>
      <c r="S1005" t="s">
        <v>32</v>
      </c>
      <c r="T1005" t="s">
        <v>32</v>
      </c>
      <c r="U1005" t="s">
        <v>32</v>
      </c>
      <c r="V1005" t="s">
        <v>32</v>
      </c>
      <c r="X1005">
        <v>72</v>
      </c>
      <c r="Y1005">
        <v>0</v>
      </c>
      <c r="Z1005" t="s">
        <v>2403</v>
      </c>
      <c r="AA1005" t="s">
        <v>2403</v>
      </c>
      <c r="AB1005" t="s">
        <v>2403</v>
      </c>
    </row>
    <row r="1006" spans="1:28" hidden="1" x14ac:dyDescent="0.2">
      <c r="A1006" t="s">
        <v>2165</v>
      </c>
      <c r="B1006" t="s">
        <v>2166</v>
      </c>
      <c r="F1006">
        <v>71</v>
      </c>
      <c r="H1006">
        <v>1</v>
      </c>
      <c r="I1006">
        <v>0</v>
      </c>
      <c r="K1006" s="1">
        <v>43316</v>
      </c>
      <c r="L1006" t="s">
        <v>71</v>
      </c>
      <c r="M1006" t="s">
        <v>149</v>
      </c>
      <c r="N1006" s="1">
        <v>44193</v>
      </c>
      <c r="Q1006">
        <v>3.7</v>
      </c>
      <c r="R1006">
        <v>-14.88</v>
      </c>
      <c r="S1006">
        <v>2.63</v>
      </c>
      <c r="T1006">
        <v>3.36</v>
      </c>
      <c r="U1006">
        <v>7.71</v>
      </c>
      <c r="V1006">
        <v>5.9</v>
      </c>
      <c r="Y1006">
        <v>0</v>
      </c>
      <c r="Z1006">
        <v>10.55</v>
      </c>
      <c r="AA1006">
        <v>1.44</v>
      </c>
      <c r="AB1006">
        <v>4.0599999999999996</v>
      </c>
    </row>
    <row r="1007" spans="1:28" hidden="1" x14ac:dyDescent="0.2">
      <c r="A1007" t="s">
        <v>2167</v>
      </c>
      <c r="B1007" t="s">
        <v>2167</v>
      </c>
      <c r="L1007" t="s">
        <v>113</v>
      </c>
      <c r="M1007" t="s">
        <v>599</v>
      </c>
      <c r="N1007" s="1">
        <v>44193</v>
      </c>
      <c r="Q1007">
        <v>3.69</v>
      </c>
      <c r="R1007">
        <v>-18.87</v>
      </c>
      <c r="S1007">
        <v>-6.46</v>
      </c>
      <c r="T1007">
        <v>3.48</v>
      </c>
      <c r="U1007">
        <v>7.71</v>
      </c>
      <c r="V1007">
        <v>8.52</v>
      </c>
      <c r="Y1007">
        <v>0</v>
      </c>
      <c r="Z1007">
        <v>8.11</v>
      </c>
      <c r="AA1007">
        <v>3.89</v>
      </c>
      <c r="AB1007">
        <v>13.39</v>
      </c>
    </row>
    <row r="1008" spans="1:28" hidden="1" x14ac:dyDescent="0.2">
      <c r="A1008" t="s">
        <v>2168</v>
      </c>
      <c r="B1008" t="s">
        <v>2169</v>
      </c>
      <c r="F1008">
        <v>47</v>
      </c>
      <c r="H1008">
        <v>1</v>
      </c>
      <c r="I1008">
        <v>0</v>
      </c>
      <c r="K1008" s="1">
        <v>43316</v>
      </c>
      <c r="L1008" t="s">
        <v>26</v>
      </c>
      <c r="M1008" t="s">
        <v>759</v>
      </c>
      <c r="N1008" s="1">
        <v>44193</v>
      </c>
      <c r="R1008">
        <v>-4.62</v>
      </c>
      <c r="S1008">
        <v>6.39</v>
      </c>
      <c r="T1008">
        <v>3.03</v>
      </c>
      <c r="U1008">
        <v>12.64</v>
      </c>
      <c r="V1008">
        <v>12.71</v>
      </c>
      <c r="Z1008">
        <v>7.72</v>
      </c>
      <c r="AA1008">
        <v>7.15</v>
      </c>
      <c r="AB1008">
        <v>15.47</v>
      </c>
    </row>
    <row r="1009" spans="1:28" hidden="1" x14ac:dyDescent="0.2">
      <c r="A1009" s="2" t="s">
        <v>2047</v>
      </c>
      <c r="B1009" t="s">
        <v>2048</v>
      </c>
      <c r="F1009">
        <v>37</v>
      </c>
      <c r="G1009">
        <v>3.7</v>
      </c>
      <c r="H1009">
        <v>0</v>
      </c>
      <c r="I1009">
        <v>0</v>
      </c>
      <c r="K1009" s="1">
        <v>44138</v>
      </c>
    </row>
    <row r="1010" spans="1:28" hidden="1" x14ac:dyDescent="0.2">
      <c r="A1010" t="s">
        <v>2172</v>
      </c>
      <c r="B1010" t="s">
        <v>2173</v>
      </c>
      <c r="J1010" t="s">
        <v>68</v>
      </c>
      <c r="N1010" s="1">
        <v>44193</v>
      </c>
      <c r="Q1010">
        <v>0.88</v>
      </c>
      <c r="R1010">
        <v>-1.96</v>
      </c>
      <c r="S1010">
        <v>2.11</v>
      </c>
      <c r="T1010">
        <v>6.85</v>
      </c>
      <c r="U1010">
        <v>8.67</v>
      </c>
      <c r="V1010" t="s">
        <v>32</v>
      </c>
    </row>
    <row r="1011" spans="1:28" hidden="1" x14ac:dyDescent="0.2">
      <c r="A1011" t="s">
        <v>2174</v>
      </c>
      <c r="B1011" t="s">
        <v>2175</v>
      </c>
      <c r="F1011">
        <v>68</v>
      </c>
      <c r="G1011">
        <v>4</v>
      </c>
      <c r="H1011">
        <v>0</v>
      </c>
      <c r="I1011">
        <v>0</v>
      </c>
      <c r="J1011" t="s">
        <v>53</v>
      </c>
      <c r="K1011" s="1">
        <v>43716</v>
      </c>
      <c r="L1011" t="s">
        <v>99</v>
      </c>
      <c r="M1011" t="s">
        <v>561</v>
      </c>
      <c r="N1011" s="1">
        <v>44193</v>
      </c>
      <c r="Q1011">
        <v>3.03</v>
      </c>
      <c r="R1011">
        <v>5.63</v>
      </c>
      <c r="S1011">
        <v>5.29</v>
      </c>
      <c r="T1011">
        <v>9.23</v>
      </c>
      <c r="U1011">
        <v>9.19</v>
      </c>
      <c r="V1011">
        <v>8.82</v>
      </c>
      <c r="Y1011">
        <v>2.8</v>
      </c>
      <c r="Z1011">
        <v>11.45</v>
      </c>
      <c r="AA1011">
        <v>8.75</v>
      </c>
      <c r="AB1011">
        <v>41.65</v>
      </c>
    </row>
    <row r="1012" spans="1:28" hidden="1" x14ac:dyDescent="0.2">
      <c r="A1012" t="s">
        <v>1561</v>
      </c>
      <c r="B1012" t="s">
        <v>1562</v>
      </c>
      <c r="F1012">
        <v>47</v>
      </c>
      <c r="H1012">
        <v>1</v>
      </c>
      <c r="I1012">
        <v>0</v>
      </c>
      <c r="K1012" s="1">
        <v>43316</v>
      </c>
      <c r="L1012" t="s">
        <v>43</v>
      </c>
      <c r="M1012" t="s">
        <v>47</v>
      </c>
      <c r="N1012" s="1">
        <v>44197</v>
      </c>
      <c r="O1012">
        <v>227</v>
      </c>
      <c r="P1012" t="s">
        <v>2403</v>
      </c>
      <c r="Q1012" t="s">
        <v>32</v>
      </c>
      <c r="R1012">
        <v>13.44</v>
      </c>
      <c r="S1012">
        <v>8.69</v>
      </c>
      <c r="T1012">
        <v>9.19</v>
      </c>
      <c r="U1012">
        <v>23.83</v>
      </c>
      <c r="V1012" t="s">
        <v>32</v>
      </c>
      <c r="X1012" t="s">
        <v>32</v>
      </c>
      <c r="Y1012">
        <v>4.4000000000000004</v>
      </c>
      <c r="Z1012">
        <v>3.63</v>
      </c>
      <c r="AA1012">
        <v>4.63</v>
      </c>
      <c r="AB1012">
        <v>12.27</v>
      </c>
    </row>
    <row r="1013" spans="1:28" hidden="1" x14ac:dyDescent="0.2">
      <c r="A1013" s="2" t="s">
        <v>992</v>
      </c>
      <c r="B1013" t="s">
        <v>993</v>
      </c>
      <c r="F1013">
        <v>36</v>
      </c>
      <c r="H1013">
        <v>0</v>
      </c>
      <c r="I1013">
        <v>0</v>
      </c>
      <c r="K1013" s="1">
        <v>43316</v>
      </c>
      <c r="L1013" t="s">
        <v>881</v>
      </c>
      <c r="M1013" t="s">
        <v>994</v>
      </c>
    </row>
    <row r="1014" spans="1:28" hidden="1" x14ac:dyDescent="0.2">
      <c r="A1014" t="s">
        <v>2178</v>
      </c>
      <c r="B1014" t="s">
        <v>2179</v>
      </c>
      <c r="F1014">
        <v>31</v>
      </c>
      <c r="H1014">
        <v>0</v>
      </c>
      <c r="I1014">
        <v>0</v>
      </c>
      <c r="J1014" t="s">
        <v>68</v>
      </c>
      <c r="K1014" s="1">
        <v>43316</v>
      </c>
      <c r="L1014" t="s">
        <v>99</v>
      </c>
      <c r="M1014" t="s">
        <v>618</v>
      </c>
    </row>
    <row r="1015" spans="1:28" hidden="1" x14ac:dyDescent="0.2">
      <c r="A1015" t="s">
        <v>286</v>
      </c>
      <c r="B1015" t="s">
        <v>287</v>
      </c>
      <c r="L1015" t="s">
        <v>26</v>
      </c>
      <c r="M1015" t="s">
        <v>275</v>
      </c>
    </row>
    <row r="1016" spans="1:28" hidden="1" x14ac:dyDescent="0.2">
      <c r="A1016" t="s">
        <v>2182</v>
      </c>
      <c r="B1016" t="s">
        <v>2183</v>
      </c>
      <c r="F1016">
        <v>70</v>
      </c>
      <c r="H1016">
        <v>1</v>
      </c>
      <c r="I1016">
        <v>0</v>
      </c>
      <c r="K1016" s="1">
        <v>43316</v>
      </c>
      <c r="L1016" t="s">
        <v>35</v>
      </c>
      <c r="M1016" t="s">
        <v>132</v>
      </c>
      <c r="N1016" s="1">
        <v>44193</v>
      </c>
      <c r="Q1016">
        <v>5.13</v>
      </c>
      <c r="R1016">
        <v>-19.45</v>
      </c>
      <c r="S1016">
        <v>-22.87</v>
      </c>
      <c r="T1016">
        <v>-4.2300000000000004</v>
      </c>
      <c r="U1016">
        <v>1.97</v>
      </c>
      <c r="V1016">
        <v>2.16</v>
      </c>
      <c r="Y1016">
        <v>0</v>
      </c>
      <c r="Z1016">
        <v>8</v>
      </c>
      <c r="AA1016">
        <v>1.4</v>
      </c>
      <c r="AB1016">
        <v>9.2899999999999991</v>
      </c>
    </row>
    <row r="1017" spans="1:28" hidden="1" x14ac:dyDescent="0.2">
      <c r="A1017" t="s">
        <v>2077</v>
      </c>
      <c r="B1017" t="s">
        <v>2078</v>
      </c>
    </row>
    <row r="1018" spans="1:28" hidden="1" x14ac:dyDescent="0.2">
      <c r="A1018" t="s">
        <v>399</v>
      </c>
      <c r="B1018" t="s">
        <v>400</v>
      </c>
      <c r="L1018" t="s">
        <v>30</v>
      </c>
      <c r="M1018" t="s">
        <v>248</v>
      </c>
      <c r="N1018" s="1">
        <v>44197</v>
      </c>
      <c r="O1018">
        <v>32</v>
      </c>
      <c r="P1018" t="s">
        <v>2403</v>
      </c>
      <c r="Q1018" t="s">
        <v>32</v>
      </c>
      <c r="R1018">
        <v>-21.58</v>
      </c>
      <c r="S1018">
        <v>-15</v>
      </c>
      <c r="T1018">
        <v>2.25</v>
      </c>
      <c r="U1018" t="s">
        <v>32</v>
      </c>
      <c r="V1018" t="s">
        <v>32</v>
      </c>
      <c r="X1018" t="s">
        <v>32</v>
      </c>
      <c r="Y1018">
        <v>0</v>
      </c>
      <c r="Z1018">
        <v>0.38</v>
      </c>
      <c r="AA1018">
        <v>0.48</v>
      </c>
      <c r="AB1018">
        <v>1.8</v>
      </c>
    </row>
    <row r="1019" spans="1:28" hidden="1" x14ac:dyDescent="0.2">
      <c r="A1019" t="s">
        <v>2188</v>
      </c>
      <c r="B1019" t="s">
        <v>2189</v>
      </c>
      <c r="F1019">
        <v>54</v>
      </c>
      <c r="H1019">
        <v>0</v>
      </c>
      <c r="I1019">
        <v>0</v>
      </c>
      <c r="K1019" s="1">
        <v>43316</v>
      </c>
      <c r="L1019" t="s">
        <v>39</v>
      </c>
      <c r="M1019" t="s">
        <v>545</v>
      </c>
      <c r="N1019" s="1">
        <v>44193</v>
      </c>
      <c r="Q1019">
        <v>2.36</v>
      </c>
      <c r="R1019">
        <v>47.47</v>
      </c>
      <c r="S1019">
        <v>15.38</v>
      </c>
      <c r="T1019">
        <v>14.31</v>
      </c>
      <c r="U1019">
        <v>10.73</v>
      </c>
      <c r="V1019">
        <v>6.99</v>
      </c>
      <c r="Y1019">
        <v>2.2000000000000002</v>
      </c>
      <c r="Z1019">
        <v>5.71</v>
      </c>
      <c r="AA1019">
        <v>7.92</v>
      </c>
      <c r="AB1019">
        <v>82.22</v>
      </c>
    </row>
    <row r="1020" spans="1:28" hidden="1" x14ac:dyDescent="0.2">
      <c r="A1020" t="s">
        <v>2190</v>
      </c>
      <c r="B1020" t="s">
        <v>2191</v>
      </c>
      <c r="F1020">
        <v>35</v>
      </c>
      <c r="H1020">
        <v>0</v>
      </c>
      <c r="I1020">
        <v>0</v>
      </c>
      <c r="J1020" t="s">
        <v>68</v>
      </c>
      <c r="K1020" s="1">
        <v>43316</v>
      </c>
      <c r="L1020" t="s">
        <v>43</v>
      </c>
      <c r="M1020" t="s">
        <v>88</v>
      </c>
    </row>
    <row r="1021" spans="1:28" hidden="1" x14ac:dyDescent="0.2">
      <c r="A1021" t="s">
        <v>2192</v>
      </c>
      <c r="B1021" t="s">
        <v>2193</v>
      </c>
      <c r="F1021">
        <v>68</v>
      </c>
      <c r="H1021">
        <v>1</v>
      </c>
      <c r="I1021">
        <v>0</v>
      </c>
      <c r="J1021" t="s">
        <v>68</v>
      </c>
      <c r="K1021" s="1">
        <v>43316</v>
      </c>
      <c r="L1021" t="s">
        <v>39</v>
      </c>
      <c r="M1021" t="s">
        <v>478</v>
      </c>
    </row>
    <row r="1022" spans="1:28" hidden="1" x14ac:dyDescent="0.2">
      <c r="A1022" t="s">
        <v>2194</v>
      </c>
      <c r="B1022" t="s">
        <v>2195</v>
      </c>
      <c r="F1022">
        <v>84</v>
      </c>
      <c r="H1022">
        <v>1</v>
      </c>
      <c r="I1022">
        <v>0</v>
      </c>
      <c r="K1022" s="1">
        <v>43316</v>
      </c>
      <c r="L1022" t="s">
        <v>226</v>
      </c>
      <c r="M1022" t="s">
        <v>366</v>
      </c>
      <c r="N1022" s="1">
        <v>44193</v>
      </c>
      <c r="Q1022">
        <v>17.86</v>
      </c>
      <c r="R1022">
        <v>-17.41</v>
      </c>
      <c r="S1022">
        <v>4.34</v>
      </c>
      <c r="T1022">
        <v>16.84</v>
      </c>
      <c r="U1022" t="s">
        <v>32</v>
      </c>
      <c r="V1022" t="s">
        <v>32</v>
      </c>
      <c r="Y1022">
        <v>0</v>
      </c>
      <c r="Z1022">
        <v>-92.03</v>
      </c>
      <c r="AA1022">
        <v>-18.71</v>
      </c>
      <c r="AB1022">
        <v>-48.86</v>
      </c>
    </row>
    <row r="1023" spans="1:28" hidden="1" x14ac:dyDescent="0.2">
      <c r="A1023" t="s">
        <v>2196</v>
      </c>
      <c r="B1023" t="s">
        <v>2197</v>
      </c>
      <c r="F1023">
        <v>62</v>
      </c>
      <c r="H1023">
        <v>1</v>
      </c>
      <c r="I1023">
        <v>0</v>
      </c>
      <c r="K1023" s="1">
        <v>43316</v>
      </c>
      <c r="L1023" t="s">
        <v>35</v>
      </c>
      <c r="M1023" t="s">
        <v>235</v>
      </c>
      <c r="N1023" s="1">
        <v>44193</v>
      </c>
      <c r="Q1023">
        <v>3.89</v>
      </c>
      <c r="R1023">
        <v>-19.07</v>
      </c>
      <c r="S1023">
        <v>-1.96</v>
      </c>
      <c r="T1023">
        <v>4.37</v>
      </c>
      <c r="U1023">
        <v>7.74</v>
      </c>
      <c r="V1023">
        <v>4.92</v>
      </c>
      <c r="Y1023">
        <v>4.8</v>
      </c>
      <c r="Z1023">
        <v>19.89</v>
      </c>
      <c r="AA1023">
        <v>0.9</v>
      </c>
      <c r="AB1023">
        <v>9.7799999999999994</v>
      </c>
    </row>
    <row r="1024" spans="1:28" hidden="1" x14ac:dyDescent="0.2">
      <c r="A1024" t="s">
        <v>2198</v>
      </c>
      <c r="B1024" t="s">
        <v>2199</v>
      </c>
      <c r="F1024">
        <v>43</v>
      </c>
      <c r="G1024">
        <v>3.2</v>
      </c>
      <c r="J1024" t="s">
        <v>68</v>
      </c>
      <c r="K1024" s="1">
        <v>43716</v>
      </c>
      <c r="L1024" t="s">
        <v>99</v>
      </c>
      <c r="M1024" t="s">
        <v>618</v>
      </c>
    </row>
    <row r="1025" spans="1:28" hidden="1" x14ac:dyDescent="0.2">
      <c r="A1025" t="s">
        <v>2200</v>
      </c>
      <c r="B1025" t="s">
        <v>2201</v>
      </c>
      <c r="F1025">
        <v>51</v>
      </c>
      <c r="H1025">
        <v>1</v>
      </c>
      <c r="I1025">
        <v>0</v>
      </c>
      <c r="K1025" s="1">
        <v>43316</v>
      </c>
      <c r="L1025" t="s">
        <v>39</v>
      </c>
      <c r="M1025" t="s">
        <v>60</v>
      </c>
      <c r="N1025" s="1">
        <v>44193</v>
      </c>
      <c r="R1025">
        <v>1.63</v>
      </c>
      <c r="S1025">
        <v>4.91</v>
      </c>
      <c r="T1025">
        <v>5.85</v>
      </c>
      <c r="U1025">
        <v>6.46</v>
      </c>
      <c r="V1025">
        <v>5.01</v>
      </c>
      <c r="Y1025">
        <v>0</v>
      </c>
      <c r="Z1025">
        <v>-3.01</v>
      </c>
      <c r="AA1025">
        <v>-1.67</v>
      </c>
      <c r="AB1025">
        <v>-4.6100000000000003</v>
      </c>
    </row>
    <row r="1026" spans="1:28" hidden="1" x14ac:dyDescent="0.2">
      <c r="A1026" t="s">
        <v>2087</v>
      </c>
      <c r="B1026" t="s">
        <v>2088</v>
      </c>
    </row>
    <row r="1027" spans="1:28" hidden="1" x14ac:dyDescent="0.2">
      <c r="A1027" t="s">
        <v>2204</v>
      </c>
      <c r="B1027" t="s">
        <v>2205</v>
      </c>
      <c r="F1027">
        <v>68</v>
      </c>
      <c r="H1027">
        <v>0</v>
      </c>
      <c r="I1027">
        <v>0</v>
      </c>
      <c r="J1027" t="s">
        <v>53</v>
      </c>
      <c r="K1027" s="1">
        <v>43316</v>
      </c>
      <c r="L1027" t="s">
        <v>43</v>
      </c>
      <c r="M1027" t="s">
        <v>676</v>
      </c>
      <c r="N1027" s="1">
        <v>44193</v>
      </c>
      <c r="Q1027">
        <v>0.85</v>
      </c>
      <c r="R1027">
        <v>4.18</v>
      </c>
      <c r="S1027">
        <v>0.61</v>
      </c>
      <c r="T1027">
        <v>20</v>
      </c>
      <c r="U1027" t="s">
        <v>32</v>
      </c>
      <c r="V1027" t="s">
        <v>32</v>
      </c>
      <c r="Y1027">
        <v>0</v>
      </c>
      <c r="Z1027">
        <v>-4.8899999999999997</v>
      </c>
      <c r="AA1027">
        <v>-1.82</v>
      </c>
      <c r="AB1027">
        <v>-5.68</v>
      </c>
    </row>
    <row r="1028" spans="1:28" hidden="1" x14ac:dyDescent="0.2">
      <c r="A1028" t="s">
        <v>1176</v>
      </c>
      <c r="B1028" t="s">
        <v>1177</v>
      </c>
      <c r="F1028">
        <v>60</v>
      </c>
      <c r="H1028">
        <v>1</v>
      </c>
      <c r="I1028">
        <v>0</v>
      </c>
      <c r="K1028" s="1">
        <v>43316</v>
      </c>
      <c r="L1028" t="s">
        <v>26</v>
      </c>
      <c r="M1028" t="s">
        <v>332</v>
      </c>
      <c r="N1028" s="1">
        <v>44197</v>
      </c>
      <c r="O1028">
        <v>269</v>
      </c>
      <c r="P1028" t="s">
        <v>2403</v>
      </c>
      <c r="Q1028" t="s">
        <v>32</v>
      </c>
      <c r="R1028">
        <v>23.24</v>
      </c>
      <c r="S1028">
        <v>16.34</v>
      </c>
      <c r="T1028">
        <v>18.16</v>
      </c>
      <c r="U1028">
        <v>10.39</v>
      </c>
      <c r="V1028">
        <v>9.11</v>
      </c>
      <c r="X1028">
        <v>281</v>
      </c>
      <c r="Y1028">
        <v>3.7</v>
      </c>
      <c r="Z1028">
        <v>8.5</v>
      </c>
      <c r="AA1028">
        <v>6.29</v>
      </c>
      <c r="AB1028">
        <v>14.01</v>
      </c>
    </row>
    <row r="1029" spans="1:28" hidden="1" x14ac:dyDescent="0.2">
      <c r="A1029" t="s">
        <v>217</v>
      </c>
      <c r="B1029" t="s">
        <v>218</v>
      </c>
      <c r="F1029">
        <v>34</v>
      </c>
      <c r="H1029">
        <v>1</v>
      </c>
      <c r="I1029">
        <v>0</v>
      </c>
      <c r="K1029" s="1">
        <v>43316</v>
      </c>
      <c r="L1029" t="s">
        <v>43</v>
      </c>
      <c r="M1029" t="s">
        <v>169</v>
      </c>
      <c r="N1029" s="1">
        <v>44197</v>
      </c>
      <c r="O1029">
        <v>-39</v>
      </c>
      <c r="P1029" t="s">
        <v>2403</v>
      </c>
      <c r="Q1029" t="s">
        <v>32</v>
      </c>
      <c r="R1029">
        <v>44.96</v>
      </c>
      <c r="S1029">
        <v>0.1</v>
      </c>
      <c r="T1029">
        <v>8.09</v>
      </c>
      <c r="U1029">
        <v>8.57</v>
      </c>
      <c r="V1029" t="s">
        <v>32</v>
      </c>
      <c r="X1029" t="s">
        <v>32</v>
      </c>
      <c r="Y1029">
        <v>0</v>
      </c>
      <c r="Z1029">
        <v>-1.56</v>
      </c>
      <c r="AA1029">
        <v>-1.8</v>
      </c>
      <c r="AB1029">
        <v>-9.08</v>
      </c>
    </row>
    <row r="1030" spans="1:28" hidden="1" x14ac:dyDescent="0.2">
      <c r="A1030" t="s">
        <v>2210</v>
      </c>
      <c r="B1030" t="s">
        <v>2211</v>
      </c>
      <c r="N1030" s="1">
        <v>44193</v>
      </c>
      <c r="Q1030">
        <v>10.99</v>
      </c>
      <c r="R1030">
        <v>11.28</v>
      </c>
      <c r="S1030">
        <v>-17.59</v>
      </c>
      <c r="T1030">
        <v>18.510000000000002</v>
      </c>
      <c r="U1030" t="s">
        <v>32</v>
      </c>
      <c r="V1030" t="s">
        <v>32</v>
      </c>
      <c r="Y1030">
        <v>0</v>
      </c>
      <c r="Z1030">
        <v>-9.08</v>
      </c>
      <c r="AA1030">
        <v>-3.93</v>
      </c>
      <c r="AB1030">
        <v>-12.33</v>
      </c>
    </row>
    <row r="1031" spans="1:28" hidden="1" x14ac:dyDescent="0.2">
      <c r="A1031" t="s">
        <v>2089</v>
      </c>
      <c r="B1031" t="s">
        <v>2090</v>
      </c>
      <c r="H1031">
        <v>0</v>
      </c>
      <c r="I1031">
        <v>0</v>
      </c>
      <c r="J1031" t="s">
        <v>53</v>
      </c>
    </row>
    <row r="1032" spans="1:28" hidden="1" x14ac:dyDescent="0.2">
      <c r="A1032" t="s">
        <v>2214</v>
      </c>
      <c r="B1032" t="s">
        <v>2215</v>
      </c>
      <c r="F1032">
        <v>55</v>
      </c>
      <c r="H1032">
        <v>1</v>
      </c>
      <c r="I1032">
        <v>0</v>
      </c>
      <c r="K1032" s="1">
        <v>43316</v>
      </c>
      <c r="L1032" t="s">
        <v>43</v>
      </c>
      <c r="M1032" t="s">
        <v>85</v>
      </c>
      <c r="N1032" s="1">
        <v>44193</v>
      </c>
      <c r="Q1032">
        <v>2.2999999999999998</v>
      </c>
      <c r="R1032">
        <v>-12.59</v>
      </c>
      <c r="S1032">
        <v>9.4600000000000009</v>
      </c>
      <c r="T1032">
        <v>10.11</v>
      </c>
      <c r="U1032">
        <v>17.12</v>
      </c>
      <c r="V1032">
        <v>14.67</v>
      </c>
      <c r="Y1032">
        <v>3.6</v>
      </c>
      <c r="Z1032">
        <v>-0.53</v>
      </c>
      <c r="AA1032">
        <v>-0.39</v>
      </c>
      <c r="AB1032">
        <v>-1.26</v>
      </c>
    </row>
    <row r="1033" spans="1:28" hidden="1" x14ac:dyDescent="0.2">
      <c r="A1033" t="s">
        <v>2216</v>
      </c>
      <c r="B1033" t="s">
        <v>2217</v>
      </c>
      <c r="L1033" t="s">
        <v>99</v>
      </c>
      <c r="M1033" t="s">
        <v>1462</v>
      </c>
      <c r="N1033" s="1">
        <v>44193</v>
      </c>
      <c r="Q1033">
        <v>8.9</v>
      </c>
      <c r="R1033">
        <v>-2.58</v>
      </c>
      <c r="S1033">
        <v>-7.97</v>
      </c>
      <c r="T1033">
        <v>-1.1000000000000001</v>
      </c>
      <c r="U1033">
        <v>8.15</v>
      </c>
      <c r="V1033">
        <v>7.91</v>
      </c>
      <c r="Y1033">
        <v>0</v>
      </c>
    </row>
    <row r="1034" spans="1:28" hidden="1" x14ac:dyDescent="0.2">
      <c r="A1034" t="s">
        <v>2115</v>
      </c>
      <c r="B1034" t="s">
        <v>2116</v>
      </c>
    </row>
    <row r="1035" spans="1:28" hidden="1" x14ac:dyDescent="0.2">
      <c r="A1035" t="s">
        <v>2121</v>
      </c>
      <c r="B1035" t="s">
        <v>2122</v>
      </c>
    </row>
    <row r="1036" spans="1:28" hidden="1" x14ac:dyDescent="0.2">
      <c r="A1036" t="s">
        <v>2131</v>
      </c>
      <c r="B1036" t="s">
        <v>2132</v>
      </c>
    </row>
    <row r="1037" spans="1:28" hidden="1" x14ac:dyDescent="0.2">
      <c r="A1037" t="s">
        <v>2222</v>
      </c>
      <c r="B1037" t="s">
        <v>2223</v>
      </c>
      <c r="N1037" s="1">
        <v>44193</v>
      </c>
      <c r="Q1037">
        <v>4.21</v>
      </c>
      <c r="R1037">
        <v>62.45</v>
      </c>
      <c r="S1037">
        <v>15.07</v>
      </c>
      <c r="T1037">
        <v>5.98</v>
      </c>
      <c r="U1037" t="s">
        <v>32</v>
      </c>
      <c r="V1037" t="s">
        <v>32</v>
      </c>
      <c r="Y1037">
        <v>0</v>
      </c>
      <c r="Z1037">
        <v>16.96</v>
      </c>
      <c r="AA1037">
        <v>5.42</v>
      </c>
      <c r="AB1037">
        <v>42.64</v>
      </c>
    </row>
    <row r="1038" spans="1:28" hidden="1" x14ac:dyDescent="0.2">
      <c r="A1038" t="s">
        <v>2224</v>
      </c>
      <c r="B1038" t="s">
        <v>2225</v>
      </c>
      <c r="N1038" s="1">
        <v>44193</v>
      </c>
      <c r="R1038">
        <v>-35.450000000000003</v>
      </c>
      <c r="S1038">
        <v>-9.32</v>
      </c>
      <c r="T1038">
        <v>5.73</v>
      </c>
      <c r="U1038">
        <v>-1.32</v>
      </c>
      <c r="V1038">
        <v>3.39</v>
      </c>
      <c r="Y1038">
        <v>0.7</v>
      </c>
      <c r="Z1038">
        <v>10.97</v>
      </c>
      <c r="AA1038">
        <v>4.32</v>
      </c>
      <c r="AB1038">
        <v>6.77</v>
      </c>
    </row>
    <row r="1039" spans="1:28" hidden="1" x14ac:dyDescent="0.2">
      <c r="A1039" t="s">
        <v>2149</v>
      </c>
      <c r="B1039" t="s">
        <v>2150</v>
      </c>
    </row>
    <row r="1040" spans="1:28" hidden="1" x14ac:dyDescent="0.2">
      <c r="A1040" t="s">
        <v>2228</v>
      </c>
      <c r="B1040" t="s">
        <v>2229</v>
      </c>
      <c r="F1040">
        <v>69</v>
      </c>
      <c r="H1040">
        <v>1</v>
      </c>
      <c r="I1040">
        <v>0</v>
      </c>
      <c r="K1040" s="1">
        <v>43316</v>
      </c>
      <c r="L1040" t="s">
        <v>226</v>
      </c>
      <c r="M1040" t="s">
        <v>227</v>
      </c>
      <c r="N1040" s="1">
        <v>44193</v>
      </c>
      <c r="Q1040">
        <v>7.29</v>
      </c>
      <c r="R1040">
        <v>-36.68</v>
      </c>
      <c r="S1040">
        <v>-10.66</v>
      </c>
      <c r="T1040">
        <v>0.11</v>
      </c>
      <c r="U1040">
        <v>12.67</v>
      </c>
      <c r="V1040">
        <v>2.73</v>
      </c>
      <c r="Y1040">
        <v>8.6</v>
      </c>
      <c r="Z1040">
        <v>-0.01</v>
      </c>
      <c r="AA1040">
        <v>-0.02</v>
      </c>
      <c r="AB1040">
        <v>-0.05</v>
      </c>
    </row>
    <row r="1041" spans="1:28" hidden="1" x14ac:dyDescent="0.2">
      <c r="A1041" t="s">
        <v>2230</v>
      </c>
      <c r="B1041" t="s">
        <v>2231</v>
      </c>
      <c r="F1041">
        <v>62</v>
      </c>
      <c r="H1041">
        <v>1</v>
      </c>
      <c r="I1041">
        <v>0</v>
      </c>
      <c r="K1041" s="1">
        <v>43316</v>
      </c>
      <c r="L1041" t="s">
        <v>30</v>
      </c>
      <c r="M1041" t="s">
        <v>361</v>
      </c>
      <c r="N1041" s="1">
        <v>44193</v>
      </c>
      <c r="Q1041">
        <v>0.97</v>
      </c>
      <c r="R1041">
        <v>2.5299999999999998</v>
      </c>
      <c r="S1041">
        <v>5.51</v>
      </c>
      <c r="T1041">
        <v>9.6199999999999992</v>
      </c>
      <c r="U1041">
        <v>13.2</v>
      </c>
      <c r="V1041">
        <v>5.88</v>
      </c>
      <c r="Y1041">
        <v>1.4</v>
      </c>
      <c r="Z1041">
        <v>12.55</v>
      </c>
      <c r="AA1041">
        <v>5.52</v>
      </c>
      <c r="AB1041">
        <v>10.65</v>
      </c>
    </row>
    <row r="1042" spans="1:28" hidden="1" x14ac:dyDescent="0.2">
      <c r="A1042" t="s">
        <v>2232</v>
      </c>
      <c r="B1042" t="s">
        <v>2233</v>
      </c>
      <c r="F1042">
        <v>58</v>
      </c>
      <c r="H1042">
        <v>1</v>
      </c>
      <c r="I1042">
        <v>0</v>
      </c>
      <c r="K1042" s="1">
        <v>43316</v>
      </c>
      <c r="L1042" t="s">
        <v>71</v>
      </c>
      <c r="M1042" t="s">
        <v>454</v>
      </c>
      <c r="N1042" s="1">
        <v>44193</v>
      </c>
      <c r="Q1042">
        <v>6.12</v>
      </c>
      <c r="R1042">
        <v>-40.26</v>
      </c>
      <c r="S1042">
        <v>-15.88</v>
      </c>
      <c r="T1042">
        <v>-12.48</v>
      </c>
      <c r="U1042">
        <v>-0.62</v>
      </c>
      <c r="V1042">
        <v>0.8</v>
      </c>
      <c r="Y1042">
        <v>0</v>
      </c>
      <c r="Z1042">
        <v>3.3</v>
      </c>
      <c r="AA1042">
        <v>0.3</v>
      </c>
      <c r="AB1042">
        <v>0.91</v>
      </c>
    </row>
    <row r="1043" spans="1:28" hidden="1" x14ac:dyDescent="0.2">
      <c r="A1043" t="s">
        <v>2234</v>
      </c>
      <c r="B1043" t="s">
        <v>2235</v>
      </c>
      <c r="N1043" s="1">
        <v>44193</v>
      </c>
      <c r="Q1043">
        <v>5.94</v>
      </c>
      <c r="R1043">
        <v>-9.43</v>
      </c>
      <c r="S1043">
        <v>-13.77</v>
      </c>
      <c r="T1043">
        <v>-5.79</v>
      </c>
      <c r="U1043">
        <v>3.28</v>
      </c>
      <c r="V1043">
        <v>2.91</v>
      </c>
      <c r="Y1043">
        <v>0</v>
      </c>
      <c r="Z1043">
        <v>5.67</v>
      </c>
      <c r="AA1043">
        <v>1.59</v>
      </c>
      <c r="AB1043">
        <v>4.33</v>
      </c>
    </row>
    <row r="1044" spans="1:28" hidden="1" x14ac:dyDescent="0.2">
      <c r="A1044" t="s">
        <v>2157</v>
      </c>
      <c r="B1044" t="s">
        <v>2158</v>
      </c>
    </row>
    <row r="1045" spans="1:28" hidden="1" x14ac:dyDescent="0.2">
      <c r="A1045" t="s">
        <v>2238</v>
      </c>
      <c r="B1045" t="s">
        <v>2239</v>
      </c>
      <c r="F1045">
        <v>48</v>
      </c>
      <c r="G1045">
        <v>3.4</v>
      </c>
      <c r="H1045">
        <v>0</v>
      </c>
      <c r="I1045">
        <v>0</v>
      </c>
      <c r="K1045" s="1">
        <v>43716</v>
      </c>
      <c r="L1045" t="s">
        <v>35</v>
      </c>
      <c r="M1045" t="s">
        <v>50</v>
      </c>
      <c r="N1045" s="1">
        <v>44193</v>
      </c>
      <c r="Q1045">
        <v>1.04</v>
      </c>
      <c r="R1045">
        <v>-3.04</v>
      </c>
      <c r="S1045">
        <v>5.6</v>
      </c>
      <c r="T1045">
        <v>9.68</v>
      </c>
      <c r="U1045" t="s">
        <v>32</v>
      </c>
      <c r="V1045" t="s">
        <v>32</v>
      </c>
      <c r="Y1045">
        <v>0</v>
      </c>
      <c r="Z1045">
        <v>-17.68</v>
      </c>
      <c r="AA1045">
        <v>-0.76</v>
      </c>
      <c r="AB1045">
        <v>-12.65</v>
      </c>
    </row>
    <row r="1046" spans="1:28" hidden="1" x14ac:dyDescent="0.2">
      <c r="A1046" t="s">
        <v>2240</v>
      </c>
      <c r="B1046" t="s">
        <v>2241</v>
      </c>
      <c r="N1046" s="1">
        <v>44193</v>
      </c>
      <c r="Q1046">
        <v>1.85</v>
      </c>
      <c r="R1046">
        <v>-11.76</v>
      </c>
      <c r="S1046">
        <v>-2.71</v>
      </c>
      <c r="T1046" t="s">
        <v>32</v>
      </c>
      <c r="U1046" t="s">
        <v>32</v>
      </c>
      <c r="V1046" t="s">
        <v>32</v>
      </c>
      <c r="Y1046">
        <v>0</v>
      </c>
      <c r="Z1046">
        <v>8.0299999999999994</v>
      </c>
      <c r="AA1046">
        <v>8.68</v>
      </c>
      <c r="AB1046">
        <v>16.440000000000001</v>
      </c>
    </row>
    <row r="1047" spans="1:28" hidden="1" x14ac:dyDescent="0.2">
      <c r="A1047" t="s">
        <v>2186</v>
      </c>
      <c r="B1047" t="s">
        <v>2187</v>
      </c>
    </row>
    <row r="1048" spans="1:28" hidden="1" x14ac:dyDescent="0.2">
      <c r="A1048" t="s">
        <v>2244</v>
      </c>
      <c r="B1048" t="s">
        <v>2245</v>
      </c>
      <c r="F1048">
        <v>74</v>
      </c>
      <c r="H1048">
        <v>1</v>
      </c>
      <c r="I1048">
        <v>0</v>
      </c>
      <c r="J1048" t="s">
        <v>68</v>
      </c>
      <c r="K1048" s="1">
        <v>43316</v>
      </c>
      <c r="L1048" t="s">
        <v>95</v>
      </c>
      <c r="M1048" t="s">
        <v>232</v>
      </c>
    </row>
    <row r="1049" spans="1:28" hidden="1" x14ac:dyDescent="0.2">
      <c r="A1049" t="s">
        <v>2246</v>
      </c>
      <c r="B1049" t="s">
        <v>2247</v>
      </c>
      <c r="L1049" t="s">
        <v>39</v>
      </c>
      <c r="M1049" t="s">
        <v>296</v>
      </c>
      <c r="N1049" s="1">
        <v>44193</v>
      </c>
      <c r="R1049">
        <v>5.43</v>
      </c>
      <c r="S1049">
        <v>-10.85</v>
      </c>
      <c r="T1049">
        <v>-11.66</v>
      </c>
      <c r="U1049" t="s">
        <v>32</v>
      </c>
      <c r="V1049" t="s">
        <v>32</v>
      </c>
      <c r="Y1049">
        <v>0</v>
      </c>
      <c r="Z1049">
        <v>0.09</v>
      </c>
      <c r="AA1049">
        <v>0.22</v>
      </c>
      <c r="AB1049">
        <v>1.05</v>
      </c>
    </row>
    <row r="1050" spans="1:28" hidden="1" x14ac:dyDescent="0.2">
      <c r="A1050" t="s">
        <v>2248</v>
      </c>
      <c r="B1050" t="s">
        <v>2249</v>
      </c>
      <c r="F1050">
        <v>76</v>
      </c>
      <c r="G1050">
        <v>3.8</v>
      </c>
      <c r="H1050">
        <v>1</v>
      </c>
      <c r="I1050">
        <v>0</v>
      </c>
      <c r="J1050" t="s">
        <v>80</v>
      </c>
      <c r="K1050" s="1">
        <v>43316</v>
      </c>
      <c r="L1050" t="s">
        <v>26</v>
      </c>
      <c r="M1050" t="s">
        <v>275</v>
      </c>
      <c r="N1050" s="1">
        <v>44193</v>
      </c>
      <c r="O1050">
        <v>2691</v>
      </c>
      <c r="R1050">
        <v>5.2</v>
      </c>
      <c r="S1050">
        <v>15.43</v>
      </c>
      <c r="T1050">
        <v>13.4</v>
      </c>
      <c r="U1050">
        <v>20.76</v>
      </c>
      <c r="V1050">
        <v>15.12</v>
      </c>
      <c r="X1050">
        <v>1843</v>
      </c>
      <c r="Y1050">
        <v>0.4</v>
      </c>
      <c r="Z1050">
        <v>44.91</v>
      </c>
      <c r="AA1050">
        <v>28.6</v>
      </c>
      <c r="AB1050">
        <v>40.200000000000003</v>
      </c>
    </row>
    <row r="1051" spans="1:28" hidden="1" x14ac:dyDescent="0.2">
      <c r="A1051" t="s">
        <v>2344</v>
      </c>
      <c r="B1051" t="s">
        <v>2345</v>
      </c>
      <c r="N1051" s="1">
        <v>44197</v>
      </c>
      <c r="O1051">
        <v>-2</v>
      </c>
      <c r="P1051" t="s">
        <v>2403</v>
      </c>
      <c r="Q1051" t="s">
        <v>32</v>
      </c>
      <c r="R1051">
        <v>-55.39</v>
      </c>
      <c r="S1051">
        <v>-24.16</v>
      </c>
      <c r="T1051">
        <v>-11.75</v>
      </c>
      <c r="U1051">
        <v>-3.03</v>
      </c>
      <c r="V1051">
        <v>1.34</v>
      </c>
      <c r="X1051">
        <v>118</v>
      </c>
      <c r="Y1051">
        <v>0</v>
      </c>
      <c r="Z1051">
        <v>-0.1</v>
      </c>
      <c r="AA1051">
        <v>-0.05</v>
      </c>
      <c r="AB1051">
        <v>-0.11</v>
      </c>
    </row>
    <row r="1052" spans="1:28" hidden="1" x14ac:dyDescent="0.2">
      <c r="A1052" t="s">
        <v>2252</v>
      </c>
      <c r="B1052" t="s">
        <v>2253</v>
      </c>
      <c r="L1052" t="s">
        <v>113</v>
      </c>
      <c r="M1052" t="s">
        <v>356</v>
      </c>
      <c r="N1052" s="1">
        <v>44193</v>
      </c>
      <c r="R1052">
        <v>-13.85</v>
      </c>
      <c r="S1052">
        <v>4.0199999999999996</v>
      </c>
      <c r="T1052" t="s">
        <v>32</v>
      </c>
      <c r="U1052" t="s">
        <v>32</v>
      </c>
      <c r="V1052" t="s">
        <v>32</v>
      </c>
      <c r="Y1052">
        <v>0.9</v>
      </c>
      <c r="Z1052">
        <v>7.63</v>
      </c>
      <c r="AA1052">
        <v>3.46</v>
      </c>
      <c r="AB1052">
        <v>11.07</v>
      </c>
    </row>
    <row r="1053" spans="1:28" hidden="1" x14ac:dyDescent="0.2">
      <c r="A1053" t="s">
        <v>2254</v>
      </c>
      <c r="B1053" t="s">
        <v>2255</v>
      </c>
      <c r="F1053">
        <v>76</v>
      </c>
      <c r="H1053">
        <v>1</v>
      </c>
      <c r="I1053">
        <v>0</v>
      </c>
      <c r="K1053" s="1">
        <v>43316</v>
      </c>
      <c r="L1053" t="s">
        <v>71</v>
      </c>
      <c r="M1053" t="s">
        <v>648</v>
      </c>
      <c r="N1053" s="1">
        <v>44193</v>
      </c>
      <c r="Q1053">
        <v>5.19</v>
      </c>
      <c r="R1053">
        <v>-10.35</v>
      </c>
      <c r="S1053">
        <v>-1.26</v>
      </c>
      <c r="T1053">
        <v>2.59</v>
      </c>
      <c r="U1053">
        <v>4.97</v>
      </c>
      <c r="V1053">
        <v>7.49</v>
      </c>
      <c r="Y1053">
        <v>315.3</v>
      </c>
      <c r="Z1053">
        <v>8.81</v>
      </c>
      <c r="AA1053">
        <v>1.39</v>
      </c>
      <c r="AB1053">
        <v>3.26</v>
      </c>
    </row>
    <row r="1054" spans="1:28" hidden="1" x14ac:dyDescent="0.2">
      <c r="A1054" t="s">
        <v>2256</v>
      </c>
      <c r="B1054" t="s">
        <v>2257</v>
      </c>
      <c r="J1054" t="s">
        <v>68</v>
      </c>
    </row>
    <row r="1055" spans="1:28" hidden="1" x14ac:dyDescent="0.2">
      <c r="A1055" t="s">
        <v>2258</v>
      </c>
      <c r="B1055" t="s">
        <v>2259</v>
      </c>
      <c r="F1055">
        <v>48</v>
      </c>
      <c r="H1055">
        <v>0</v>
      </c>
      <c r="I1055">
        <v>0</v>
      </c>
      <c r="K1055" s="1">
        <v>43316</v>
      </c>
      <c r="L1055" t="s">
        <v>213</v>
      </c>
      <c r="M1055" t="s">
        <v>214</v>
      </c>
      <c r="N1055" s="1">
        <v>44193</v>
      </c>
      <c r="Q1055">
        <v>4.09</v>
      </c>
      <c r="R1055">
        <v>-0.13</v>
      </c>
      <c r="S1055">
        <v>7.43</v>
      </c>
      <c r="T1055">
        <v>8.67</v>
      </c>
      <c r="U1055">
        <v>8.6</v>
      </c>
      <c r="V1055">
        <v>7.65</v>
      </c>
      <c r="Y1055">
        <v>4</v>
      </c>
      <c r="Z1055">
        <v>14.26</v>
      </c>
      <c r="AA1055">
        <v>6.29</v>
      </c>
      <c r="AB1055">
        <v>29.53</v>
      </c>
    </row>
    <row r="1056" spans="1:28" hidden="1" x14ac:dyDescent="0.2">
      <c r="A1056" t="s">
        <v>2260</v>
      </c>
      <c r="B1056" t="s">
        <v>2261</v>
      </c>
      <c r="J1056" t="s">
        <v>68</v>
      </c>
      <c r="L1056" t="s">
        <v>43</v>
      </c>
      <c r="M1056" t="s">
        <v>47</v>
      </c>
    </row>
    <row r="1057" spans="1:28" hidden="1" x14ac:dyDescent="0.2">
      <c r="A1057" t="s">
        <v>626</v>
      </c>
      <c r="B1057" t="s">
        <v>627</v>
      </c>
      <c r="F1057">
        <v>77</v>
      </c>
      <c r="H1057">
        <v>1</v>
      </c>
      <c r="I1057">
        <v>0</v>
      </c>
      <c r="K1057" s="1">
        <v>43316</v>
      </c>
      <c r="L1057" t="s">
        <v>26</v>
      </c>
      <c r="M1057" t="s">
        <v>27</v>
      </c>
      <c r="N1057" s="1">
        <v>44197</v>
      </c>
      <c r="O1057">
        <v>504</v>
      </c>
      <c r="P1057" t="s">
        <v>2403</v>
      </c>
      <c r="Q1057" t="s">
        <v>32</v>
      </c>
      <c r="R1057">
        <v>5.89</v>
      </c>
      <c r="S1057">
        <v>8.6</v>
      </c>
      <c r="T1057">
        <v>12.95</v>
      </c>
      <c r="U1057">
        <v>12.28</v>
      </c>
      <c r="V1057">
        <v>13.34</v>
      </c>
      <c r="X1057">
        <v>138</v>
      </c>
      <c r="Y1057">
        <v>3.3</v>
      </c>
      <c r="Z1057" t="s">
        <v>2403</v>
      </c>
      <c r="AA1057" t="s">
        <v>2403</v>
      </c>
      <c r="AB1057" t="s">
        <v>2403</v>
      </c>
    </row>
    <row r="1058" spans="1:28" hidden="1" x14ac:dyDescent="0.2">
      <c r="A1058" t="s">
        <v>1056</v>
      </c>
      <c r="B1058" t="s">
        <v>1057</v>
      </c>
      <c r="L1058" t="s">
        <v>95</v>
      </c>
      <c r="M1058" t="s">
        <v>232</v>
      </c>
      <c r="N1058" s="1">
        <v>44197</v>
      </c>
      <c r="O1058">
        <v>379</v>
      </c>
      <c r="P1058" t="s">
        <v>2403</v>
      </c>
      <c r="Q1058" t="s">
        <v>32</v>
      </c>
      <c r="R1058">
        <v>-11.56</v>
      </c>
      <c r="S1058">
        <v>-26.55</v>
      </c>
      <c r="T1058">
        <v>16.02</v>
      </c>
      <c r="U1058" t="s">
        <v>32</v>
      </c>
      <c r="V1058" t="s">
        <v>32</v>
      </c>
      <c r="X1058">
        <v>309</v>
      </c>
      <c r="Y1058">
        <v>0</v>
      </c>
      <c r="Z1058">
        <v>23.07</v>
      </c>
      <c r="AA1058">
        <v>7.17</v>
      </c>
      <c r="AB1058">
        <v>15.81</v>
      </c>
    </row>
    <row r="1059" spans="1:28" hidden="1" x14ac:dyDescent="0.2">
      <c r="A1059" t="s">
        <v>2266</v>
      </c>
      <c r="B1059" t="s">
        <v>2267</v>
      </c>
      <c r="F1059">
        <v>40</v>
      </c>
      <c r="H1059">
        <v>0</v>
      </c>
      <c r="I1059">
        <v>0</v>
      </c>
      <c r="K1059" s="1">
        <v>43316</v>
      </c>
      <c r="L1059" t="s">
        <v>99</v>
      </c>
      <c r="M1059" t="s">
        <v>1223</v>
      </c>
      <c r="N1059" s="1">
        <v>44193</v>
      </c>
      <c r="Q1059">
        <v>4.87</v>
      </c>
      <c r="R1059">
        <v>-29.67</v>
      </c>
      <c r="S1059">
        <v>-14.88</v>
      </c>
      <c r="T1059">
        <v>-10.97</v>
      </c>
      <c r="U1059">
        <v>3.12</v>
      </c>
      <c r="V1059">
        <v>1.56</v>
      </c>
      <c r="Y1059">
        <v>0</v>
      </c>
      <c r="Z1059">
        <v>0.33</v>
      </c>
      <c r="AA1059">
        <v>0.59</v>
      </c>
      <c r="AB1059">
        <v>2.0699999999999998</v>
      </c>
    </row>
    <row r="1060" spans="1:28" hidden="1" x14ac:dyDescent="0.2">
      <c r="A1060" t="s">
        <v>784</v>
      </c>
      <c r="B1060" t="s">
        <v>785</v>
      </c>
      <c r="L1060" t="s">
        <v>43</v>
      </c>
      <c r="M1060" t="s">
        <v>537</v>
      </c>
      <c r="N1060" s="1">
        <v>44197</v>
      </c>
      <c r="O1060">
        <v>-542</v>
      </c>
      <c r="P1060" t="s">
        <v>2403</v>
      </c>
      <c r="Q1060" t="s">
        <v>32</v>
      </c>
      <c r="R1060">
        <v>4.6500000000000004</v>
      </c>
      <c r="S1060">
        <v>-3.8</v>
      </c>
      <c r="T1060">
        <v>-14.85</v>
      </c>
      <c r="U1060" t="s">
        <v>32</v>
      </c>
      <c r="V1060" t="s">
        <v>32</v>
      </c>
      <c r="X1060">
        <v>40</v>
      </c>
      <c r="Y1060">
        <v>0</v>
      </c>
      <c r="Z1060" t="s">
        <v>2403</v>
      </c>
      <c r="AA1060" t="s">
        <v>2403</v>
      </c>
      <c r="AB1060" t="s">
        <v>2403</v>
      </c>
    </row>
    <row r="1061" spans="1:28" hidden="1" x14ac:dyDescent="0.2">
      <c r="A1061" t="s">
        <v>2270</v>
      </c>
      <c r="B1061" t="s">
        <v>2271</v>
      </c>
      <c r="L1061" t="s">
        <v>35</v>
      </c>
      <c r="M1061" t="s">
        <v>326</v>
      </c>
      <c r="N1061" s="1">
        <v>44193</v>
      </c>
      <c r="Q1061">
        <v>5.34</v>
      </c>
      <c r="R1061">
        <v>-10.19</v>
      </c>
      <c r="S1061">
        <v>-10.29</v>
      </c>
      <c r="T1061">
        <v>-2.86</v>
      </c>
      <c r="U1061">
        <v>1.93</v>
      </c>
      <c r="V1061">
        <v>4.4800000000000004</v>
      </c>
      <c r="Y1061">
        <v>0.6</v>
      </c>
      <c r="Z1061">
        <v>11.5</v>
      </c>
      <c r="AA1061">
        <v>0.25</v>
      </c>
      <c r="AB1061">
        <v>3.43</v>
      </c>
    </row>
    <row r="1062" spans="1:28" hidden="1" x14ac:dyDescent="0.2">
      <c r="A1062" t="s">
        <v>909</v>
      </c>
      <c r="B1062" t="s">
        <v>910</v>
      </c>
      <c r="F1062">
        <v>26</v>
      </c>
      <c r="H1062">
        <v>1</v>
      </c>
      <c r="I1062">
        <v>0</v>
      </c>
      <c r="K1062" s="1">
        <v>43316</v>
      </c>
      <c r="L1062" t="s">
        <v>39</v>
      </c>
      <c r="M1062" t="s">
        <v>900</v>
      </c>
      <c r="N1062" s="1">
        <v>44197</v>
      </c>
      <c r="O1062">
        <v>134</v>
      </c>
      <c r="P1062" t="s">
        <v>2403</v>
      </c>
      <c r="Q1062" t="s">
        <v>32</v>
      </c>
      <c r="R1062">
        <v>32.18</v>
      </c>
      <c r="S1062">
        <v>4.83</v>
      </c>
      <c r="T1062">
        <v>12.44</v>
      </c>
      <c r="U1062">
        <v>4.05</v>
      </c>
      <c r="V1062">
        <v>4.1399999999999997</v>
      </c>
      <c r="X1062" t="s">
        <v>32</v>
      </c>
      <c r="Y1062">
        <v>0.8</v>
      </c>
      <c r="Z1062">
        <v>1.1399999999999999</v>
      </c>
      <c r="AA1062">
        <v>1.39</v>
      </c>
      <c r="AB1062">
        <v>4.3499999999999996</v>
      </c>
    </row>
    <row r="1063" spans="1:28" hidden="1" x14ac:dyDescent="0.2">
      <c r="A1063" t="s">
        <v>2262</v>
      </c>
      <c r="B1063" t="s">
        <v>2263</v>
      </c>
      <c r="J1063" t="s">
        <v>53</v>
      </c>
    </row>
    <row r="1064" spans="1:28" hidden="1" x14ac:dyDescent="0.2">
      <c r="A1064" t="s">
        <v>233</v>
      </c>
      <c r="B1064" t="s">
        <v>234</v>
      </c>
      <c r="H1064">
        <v>1</v>
      </c>
      <c r="I1064">
        <v>0</v>
      </c>
      <c r="K1064" s="1">
        <v>43316</v>
      </c>
      <c r="L1064" t="s">
        <v>35</v>
      </c>
      <c r="M1064" t="s">
        <v>235</v>
      </c>
    </row>
    <row r="1065" spans="1:28" hidden="1" x14ac:dyDescent="0.2">
      <c r="A1065" t="s">
        <v>2278</v>
      </c>
      <c r="B1065" t="s">
        <v>2279</v>
      </c>
      <c r="F1065">
        <v>51</v>
      </c>
      <c r="H1065">
        <v>0</v>
      </c>
      <c r="I1065">
        <v>0</v>
      </c>
      <c r="K1065" s="1">
        <v>43316</v>
      </c>
      <c r="L1065" t="s">
        <v>95</v>
      </c>
      <c r="M1065" t="s">
        <v>1578</v>
      </c>
      <c r="N1065" s="1">
        <v>44193</v>
      </c>
      <c r="Q1065">
        <v>2.23</v>
      </c>
      <c r="R1065">
        <v>-17.82</v>
      </c>
      <c r="S1065">
        <v>-12.21</v>
      </c>
      <c r="T1065">
        <v>-0.41</v>
      </c>
      <c r="U1065">
        <v>6.51</v>
      </c>
      <c r="V1065">
        <v>8.6300000000000008</v>
      </c>
      <c r="Y1065">
        <v>0.7</v>
      </c>
      <c r="Z1065">
        <v>-0.2</v>
      </c>
      <c r="AA1065">
        <v>-0.13</v>
      </c>
      <c r="AB1065">
        <v>-0.36</v>
      </c>
    </row>
    <row r="1066" spans="1:28" hidden="1" x14ac:dyDescent="0.2">
      <c r="A1066" t="s">
        <v>2280</v>
      </c>
      <c r="B1066" t="s">
        <v>2281</v>
      </c>
      <c r="F1066">
        <v>8</v>
      </c>
      <c r="H1066">
        <v>1</v>
      </c>
      <c r="I1066">
        <v>0</v>
      </c>
      <c r="K1066" s="1">
        <v>43316</v>
      </c>
      <c r="L1066" t="s">
        <v>113</v>
      </c>
      <c r="M1066" t="s">
        <v>124</v>
      </c>
      <c r="N1066" s="1">
        <v>44193</v>
      </c>
      <c r="Q1066">
        <v>2.66</v>
      </c>
      <c r="R1066">
        <v>0.76</v>
      </c>
      <c r="S1066">
        <v>13.68</v>
      </c>
      <c r="T1066">
        <v>14.39</v>
      </c>
      <c r="U1066">
        <v>13.82</v>
      </c>
      <c r="V1066">
        <v>12.27</v>
      </c>
      <c r="Y1066">
        <v>2.7</v>
      </c>
      <c r="Z1066">
        <v>16.600000000000001</v>
      </c>
      <c r="AA1066">
        <v>3.45</v>
      </c>
      <c r="AB1066">
        <v>11.72</v>
      </c>
    </row>
    <row r="1067" spans="1:28" hidden="1" x14ac:dyDescent="0.2">
      <c r="A1067" t="s">
        <v>2282</v>
      </c>
      <c r="B1067" t="s">
        <v>2283</v>
      </c>
      <c r="N1067" s="1">
        <v>44193</v>
      </c>
      <c r="Q1067">
        <v>1.32</v>
      </c>
      <c r="R1067">
        <v>3.38</v>
      </c>
      <c r="S1067">
        <v>12.71</v>
      </c>
      <c r="T1067">
        <v>17.399999999999999</v>
      </c>
      <c r="U1067">
        <v>18.46</v>
      </c>
      <c r="V1067">
        <v>3.3</v>
      </c>
      <c r="Y1067">
        <v>3.5</v>
      </c>
      <c r="Z1067">
        <v>6.26</v>
      </c>
      <c r="AA1067">
        <v>2.09</v>
      </c>
      <c r="AB1067">
        <v>18.04</v>
      </c>
    </row>
    <row r="1068" spans="1:28" hidden="1" x14ac:dyDescent="0.2">
      <c r="A1068" t="s">
        <v>2284</v>
      </c>
      <c r="B1068" t="s">
        <v>2285</v>
      </c>
      <c r="F1068">
        <v>54</v>
      </c>
      <c r="H1068">
        <v>1</v>
      </c>
      <c r="I1068">
        <v>1</v>
      </c>
      <c r="K1068" s="1">
        <v>43316</v>
      </c>
      <c r="L1068" t="s">
        <v>35</v>
      </c>
      <c r="M1068" t="s">
        <v>326</v>
      </c>
      <c r="N1068" s="1">
        <v>44193</v>
      </c>
      <c r="Q1068">
        <v>4.46</v>
      </c>
      <c r="R1068">
        <v>-42.23</v>
      </c>
      <c r="S1068">
        <v>-17.27</v>
      </c>
      <c r="T1068">
        <v>-7.13</v>
      </c>
      <c r="U1068">
        <v>3.28</v>
      </c>
      <c r="V1068">
        <v>2.74</v>
      </c>
      <c r="Y1068">
        <v>0</v>
      </c>
      <c r="Z1068">
        <v>2.17</v>
      </c>
      <c r="AA1068">
        <v>0.08</v>
      </c>
      <c r="AB1068">
        <v>0.97</v>
      </c>
    </row>
    <row r="1069" spans="1:28" hidden="1" x14ac:dyDescent="0.2">
      <c r="A1069" t="s">
        <v>2286</v>
      </c>
      <c r="B1069" t="s">
        <v>2287</v>
      </c>
      <c r="F1069">
        <v>44</v>
      </c>
      <c r="H1069">
        <v>1</v>
      </c>
      <c r="I1069">
        <v>0</v>
      </c>
      <c r="K1069" s="1">
        <v>43316</v>
      </c>
      <c r="L1069" t="s">
        <v>43</v>
      </c>
      <c r="M1069" t="s">
        <v>435</v>
      </c>
      <c r="N1069" s="1">
        <v>44193</v>
      </c>
      <c r="Q1069">
        <v>2.4900000000000002</v>
      </c>
      <c r="R1069">
        <v>30.24</v>
      </c>
      <c r="S1069">
        <v>5.31</v>
      </c>
      <c r="T1069">
        <v>6.85</v>
      </c>
      <c r="U1069">
        <v>9.32</v>
      </c>
      <c r="V1069">
        <v>6.94</v>
      </c>
      <c r="Y1069">
        <v>0</v>
      </c>
      <c r="Z1069">
        <v>4.58</v>
      </c>
      <c r="AA1069">
        <v>4.5</v>
      </c>
      <c r="AB1069">
        <v>27.25</v>
      </c>
    </row>
    <row r="1070" spans="1:28" hidden="1" x14ac:dyDescent="0.2">
      <c r="A1070" t="s">
        <v>2288</v>
      </c>
      <c r="B1070" t="s">
        <v>319</v>
      </c>
      <c r="F1070">
        <v>21</v>
      </c>
      <c r="H1070">
        <v>1</v>
      </c>
      <c r="I1070">
        <v>0</v>
      </c>
      <c r="K1070" s="1">
        <v>43316</v>
      </c>
      <c r="L1070" t="s">
        <v>213</v>
      </c>
      <c r="M1070" t="s">
        <v>214</v>
      </c>
      <c r="N1070" s="1">
        <v>44193</v>
      </c>
      <c r="R1070">
        <v>-10.26</v>
      </c>
      <c r="S1070">
        <v>-10.61</v>
      </c>
      <c r="T1070">
        <v>-11.09</v>
      </c>
      <c r="U1070">
        <v>3.42</v>
      </c>
      <c r="V1070">
        <v>-13.64</v>
      </c>
      <c r="Y1070">
        <v>0</v>
      </c>
      <c r="Z1070">
        <v>-43.42</v>
      </c>
      <c r="AA1070">
        <v>-7.22</v>
      </c>
      <c r="AB1070">
        <v>-18.22</v>
      </c>
    </row>
    <row r="1071" spans="1:28" hidden="1" x14ac:dyDescent="0.2">
      <c r="A1071" t="s">
        <v>804</v>
      </c>
      <c r="B1071" t="s">
        <v>805</v>
      </c>
      <c r="H1071">
        <v>1</v>
      </c>
      <c r="I1071">
        <v>0</v>
      </c>
      <c r="K1071" s="1">
        <v>43316</v>
      </c>
      <c r="L1071" t="s">
        <v>99</v>
      </c>
      <c r="M1071" t="s">
        <v>481</v>
      </c>
    </row>
    <row r="1072" spans="1:28" hidden="1" x14ac:dyDescent="0.2">
      <c r="A1072" t="s">
        <v>2272</v>
      </c>
      <c r="B1072" t="s">
        <v>2273</v>
      </c>
    </row>
    <row r="1073" spans="1:28" hidden="1" x14ac:dyDescent="0.2">
      <c r="A1073" t="s">
        <v>2293</v>
      </c>
      <c r="B1073" t="s">
        <v>2294</v>
      </c>
      <c r="L1073" t="s">
        <v>30</v>
      </c>
      <c r="M1073" t="s">
        <v>164</v>
      </c>
      <c r="N1073" s="1">
        <v>44194</v>
      </c>
      <c r="Q1073">
        <v>1.42</v>
      </c>
      <c r="R1073">
        <v>16.45</v>
      </c>
      <c r="S1073">
        <v>-7.87</v>
      </c>
      <c r="T1073">
        <v>9.14</v>
      </c>
      <c r="U1073">
        <v>15.13</v>
      </c>
      <c r="V1073">
        <v>12.84</v>
      </c>
      <c r="Y1073">
        <v>0</v>
      </c>
      <c r="Z1073">
        <v>3.91</v>
      </c>
      <c r="AA1073">
        <v>2.16</v>
      </c>
      <c r="AB1073">
        <v>4.93</v>
      </c>
    </row>
    <row r="1074" spans="1:28" hidden="1" x14ac:dyDescent="0.2">
      <c r="A1074" t="s">
        <v>982</v>
      </c>
      <c r="B1074" t="s">
        <v>983</v>
      </c>
      <c r="F1074">
        <v>53</v>
      </c>
      <c r="H1074">
        <v>1</v>
      </c>
      <c r="I1074">
        <v>0</v>
      </c>
      <c r="K1074" s="1">
        <v>43316</v>
      </c>
      <c r="L1074" t="s">
        <v>35</v>
      </c>
      <c r="M1074" t="s">
        <v>155</v>
      </c>
      <c r="N1074" s="1">
        <v>44197</v>
      </c>
      <c r="O1074">
        <v>1064</v>
      </c>
      <c r="P1074" t="s">
        <v>2403</v>
      </c>
      <c r="Q1074" t="s">
        <v>32</v>
      </c>
      <c r="R1074">
        <v>5.69</v>
      </c>
      <c r="S1074">
        <v>13.17</v>
      </c>
      <c r="T1074">
        <v>11.57</v>
      </c>
      <c r="U1074">
        <v>9.98</v>
      </c>
      <c r="V1074">
        <v>6.48</v>
      </c>
      <c r="X1074" t="s">
        <v>32</v>
      </c>
      <c r="Y1074">
        <v>0.9</v>
      </c>
      <c r="Z1074">
        <v>11.47</v>
      </c>
      <c r="AA1074">
        <v>2.89</v>
      </c>
      <c r="AB1074">
        <v>10.43</v>
      </c>
    </row>
    <row r="1075" spans="1:28" hidden="1" x14ac:dyDescent="0.2">
      <c r="A1075" t="s">
        <v>2297</v>
      </c>
      <c r="B1075" t="s">
        <v>1842</v>
      </c>
      <c r="F1075">
        <v>58</v>
      </c>
      <c r="H1075">
        <v>0</v>
      </c>
      <c r="I1075">
        <v>0</v>
      </c>
      <c r="K1075" s="1">
        <v>43316</v>
      </c>
      <c r="L1075" t="s">
        <v>39</v>
      </c>
      <c r="M1075" t="s">
        <v>1842</v>
      </c>
      <c r="N1075" s="1">
        <v>44194</v>
      </c>
      <c r="Q1075">
        <v>1.8</v>
      </c>
      <c r="R1075">
        <v>5.6</v>
      </c>
      <c r="S1075">
        <v>12.9</v>
      </c>
      <c r="T1075">
        <v>18.79</v>
      </c>
      <c r="U1075">
        <v>13.91</v>
      </c>
      <c r="V1075">
        <v>10.72</v>
      </c>
      <c r="Y1075">
        <v>3.1</v>
      </c>
      <c r="Z1075">
        <v>10.039999999999999</v>
      </c>
      <c r="AA1075">
        <v>5.8</v>
      </c>
      <c r="AB1075">
        <v>21.59</v>
      </c>
    </row>
    <row r="1076" spans="1:28" hidden="1" x14ac:dyDescent="0.2">
      <c r="A1076" t="s">
        <v>2298</v>
      </c>
      <c r="B1076" t="s">
        <v>2299</v>
      </c>
      <c r="F1076">
        <v>42</v>
      </c>
      <c r="H1076">
        <v>1</v>
      </c>
      <c r="I1076">
        <v>0</v>
      </c>
      <c r="K1076" s="1">
        <v>43316</v>
      </c>
      <c r="L1076" t="s">
        <v>226</v>
      </c>
      <c r="M1076" t="s">
        <v>386</v>
      </c>
      <c r="N1076" s="1">
        <v>44194</v>
      </c>
      <c r="R1076">
        <v>-7.84</v>
      </c>
      <c r="S1076">
        <v>-6.9</v>
      </c>
      <c r="T1076">
        <v>2.08</v>
      </c>
      <c r="U1076">
        <v>5.36</v>
      </c>
      <c r="V1076">
        <v>4.28</v>
      </c>
      <c r="Y1076">
        <v>0.7</v>
      </c>
      <c r="Z1076">
        <v>2.79</v>
      </c>
      <c r="AA1076">
        <v>0.48</v>
      </c>
      <c r="AB1076">
        <v>1.69</v>
      </c>
    </row>
    <row r="1077" spans="1:28" hidden="1" x14ac:dyDescent="0.2">
      <c r="A1077" t="s">
        <v>2300</v>
      </c>
      <c r="B1077" t="s">
        <v>2301</v>
      </c>
      <c r="F1077">
        <v>51</v>
      </c>
      <c r="H1077">
        <v>1</v>
      </c>
      <c r="I1077">
        <v>0</v>
      </c>
      <c r="K1077" s="1">
        <v>43316</v>
      </c>
      <c r="L1077" t="s">
        <v>71</v>
      </c>
      <c r="M1077" t="s">
        <v>502</v>
      </c>
      <c r="N1077" s="1">
        <v>44194</v>
      </c>
      <c r="Q1077">
        <v>11.73</v>
      </c>
      <c r="R1077">
        <v>-67.239999999999995</v>
      </c>
      <c r="S1077">
        <v>-15.7</v>
      </c>
      <c r="T1077">
        <v>-4.43</v>
      </c>
      <c r="U1077" t="s">
        <v>32</v>
      </c>
      <c r="V1077" t="s">
        <v>32</v>
      </c>
      <c r="Y1077">
        <v>0</v>
      </c>
    </row>
    <row r="1078" spans="1:28" hidden="1" x14ac:dyDescent="0.2">
      <c r="A1078" t="s">
        <v>2302</v>
      </c>
      <c r="B1078" t="s">
        <v>2303</v>
      </c>
      <c r="F1078">
        <v>47</v>
      </c>
      <c r="G1078">
        <v>3.3</v>
      </c>
      <c r="H1078">
        <v>0</v>
      </c>
      <c r="I1078">
        <v>0</v>
      </c>
      <c r="J1078" t="s">
        <v>80</v>
      </c>
      <c r="K1078" s="1">
        <v>44138</v>
      </c>
      <c r="L1078" t="s">
        <v>99</v>
      </c>
      <c r="M1078" t="s">
        <v>621</v>
      </c>
      <c r="N1078" s="1">
        <v>44194</v>
      </c>
      <c r="Q1078">
        <v>1.41</v>
      </c>
      <c r="R1078">
        <v>23.24</v>
      </c>
      <c r="S1078">
        <v>15.1</v>
      </c>
      <c r="T1078">
        <v>20.7</v>
      </c>
      <c r="U1078">
        <v>11.83</v>
      </c>
      <c r="V1078">
        <v>8.7899999999999991</v>
      </c>
      <c r="Y1078">
        <v>3.9</v>
      </c>
      <c r="Z1078">
        <v>3.6</v>
      </c>
      <c r="AA1078">
        <v>8.0500000000000007</v>
      </c>
      <c r="AB1078">
        <v>25.79</v>
      </c>
    </row>
    <row r="1079" spans="1:28" hidden="1" x14ac:dyDescent="0.2">
      <c r="A1079" t="s">
        <v>422</v>
      </c>
      <c r="B1079" t="s">
        <v>423</v>
      </c>
      <c r="F1079">
        <v>56</v>
      </c>
      <c r="G1079">
        <v>3.3</v>
      </c>
      <c r="J1079" t="s">
        <v>80</v>
      </c>
      <c r="K1079" s="1">
        <v>43716</v>
      </c>
      <c r="L1079" t="s">
        <v>95</v>
      </c>
      <c r="M1079" t="s">
        <v>424</v>
      </c>
    </row>
    <row r="1080" spans="1:28" hidden="1" x14ac:dyDescent="0.2">
      <c r="A1080" t="s">
        <v>2306</v>
      </c>
      <c r="B1080" t="s">
        <v>2307</v>
      </c>
      <c r="F1080">
        <v>39</v>
      </c>
      <c r="H1080">
        <v>1</v>
      </c>
      <c r="I1080">
        <v>0</v>
      </c>
      <c r="K1080" s="1">
        <v>43316</v>
      </c>
      <c r="L1080" t="s">
        <v>71</v>
      </c>
      <c r="M1080" t="s">
        <v>502</v>
      </c>
      <c r="N1080" s="1">
        <v>44194</v>
      </c>
      <c r="Q1080">
        <v>6.02</v>
      </c>
      <c r="R1080">
        <v>-5.57</v>
      </c>
      <c r="S1080">
        <v>5.5</v>
      </c>
      <c r="T1080">
        <v>8.1999999999999993</v>
      </c>
      <c r="U1080">
        <v>12.82</v>
      </c>
      <c r="V1080">
        <v>10.74</v>
      </c>
      <c r="Y1080">
        <v>0</v>
      </c>
      <c r="Z1080">
        <v>37.1</v>
      </c>
      <c r="AA1080">
        <v>3.18</v>
      </c>
      <c r="AB1080">
        <v>6.5</v>
      </c>
    </row>
    <row r="1081" spans="1:28" hidden="1" x14ac:dyDescent="0.2">
      <c r="A1081" t="s">
        <v>2308</v>
      </c>
      <c r="B1081" t="s">
        <v>2309</v>
      </c>
      <c r="F1081">
        <v>29</v>
      </c>
      <c r="H1081">
        <v>1</v>
      </c>
      <c r="I1081">
        <v>0</v>
      </c>
      <c r="K1081" s="1">
        <v>43316</v>
      </c>
      <c r="L1081" t="s">
        <v>71</v>
      </c>
      <c r="M1081" t="s">
        <v>947</v>
      </c>
      <c r="N1081" s="1">
        <v>44194</v>
      </c>
      <c r="R1081">
        <v>-74.34</v>
      </c>
      <c r="S1081">
        <v>-25.98</v>
      </c>
      <c r="T1081">
        <v>-14.32</v>
      </c>
      <c r="U1081" t="s">
        <v>32</v>
      </c>
      <c r="V1081" t="s">
        <v>32</v>
      </c>
      <c r="Y1081">
        <v>0</v>
      </c>
      <c r="Z1081">
        <v>-19.32</v>
      </c>
      <c r="AA1081">
        <v>-2.4900000000000002</v>
      </c>
      <c r="AB1081">
        <v>-19.79</v>
      </c>
    </row>
    <row r="1082" spans="1:28" hidden="1" x14ac:dyDescent="0.2">
      <c r="A1082" t="s">
        <v>2310</v>
      </c>
      <c r="B1082" t="s">
        <v>2311</v>
      </c>
      <c r="L1082" t="s">
        <v>35</v>
      </c>
      <c r="M1082" t="s">
        <v>129</v>
      </c>
      <c r="N1082" s="1">
        <v>44194</v>
      </c>
      <c r="Q1082">
        <v>0.71</v>
      </c>
      <c r="R1082">
        <v>-2.93</v>
      </c>
      <c r="S1082">
        <v>13.32</v>
      </c>
      <c r="T1082">
        <v>14.17</v>
      </c>
      <c r="U1082">
        <v>15</v>
      </c>
      <c r="V1082">
        <v>8.74</v>
      </c>
      <c r="Y1082">
        <v>1.6</v>
      </c>
      <c r="Z1082">
        <v>4.34</v>
      </c>
      <c r="AA1082">
        <v>1.24</v>
      </c>
      <c r="AB1082">
        <v>5.61</v>
      </c>
    </row>
    <row r="1083" spans="1:28" hidden="1" x14ac:dyDescent="0.2">
      <c r="A1083" t="s">
        <v>2312</v>
      </c>
      <c r="B1083" t="s">
        <v>2313</v>
      </c>
      <c r="F1083">
        <v>43</v>
      </c>
      <c r="H1083">
        <v>1</v>
      </c>
      <c r="I1083">
        <v>0</v>
      </c>
      <c r="K1083" s="1">
        <v>43316</v>
      </c>
      <c r="L1083" t="s">
        <v>43</v>
      </c>
      <c r="M1083" t="s">
        <v>405</v>
      </c>
      <c r="N1083" s="1">
        <v>44194</v>
      </c>
      <c r="Q1083">
        <v>2.52</v>
      </c>
      <c r="R1083">
        <v>5.48</v>
      </c>
      <c r="S1083">
        <v>-8.42</v>
      </c>
      <c r="T1083">
        <v>3.67</v>
      </c>
      <c r="U1083">
        <v>7.87</v>
      </c>
      <c r="V1083">
        <v>15.41</v>
      </c>
      <c r="Y1083">
        <v>1.9</v>
      </c>
      <c r="Z1083">
        <v>-3.93</v>
      </c>
      <c r="AA1083">
        <v>-2.34</v>
      </c>
      <c r="AB1083">
        <v>-6.2</v>
      </c>
    </row>
    <row r="1084" spans="1:28" hidden="1" x14ac:dyDescent="0.2">
      <c r="A1084" t="s">
        <v>2314</v>
      </c>
      <c r="B1084" t="s">
        <v>2315</v>
      </c>
      <c r="L1084" t="s">
        <v>43</v>
      </c>
      <c r="M1084" t="s">
        <v>47</v>
      </c>
      <c r="N1084" s="1">
        <v>44194</v>
      </c>
      <c r="R1084">
        <v>45.29</v>
      </c>
      <c r="S1084">
        <v>27.76</v>
      </c>
      <c r="T1084">
        <v>13.81</v>
      </c>
      <c r="U1084">
        <v>12.65</v>
      </c>
      <c r="V1084">
        <v>6.96</v>
      </c>
      <c r="Y1084">
        <v>1.3</v>
      </c>
      <c r="Z1084">
        <v>8.49</v>
      </c>
      <c r="AA1084">
        <v>13</v>
      </c>
      <c r="AB1084">
        <v>42.45</v>
      </c>
    </row>
    <row r="1085" spans="1:28" hidden="1" x14ac:dyDescent="0.2">
      <c r="A1085" t="s">
        <v>2289</v>
      </c>
      <c r="B1085" t="s">
        <v>2290</v>
      </c>
    </row>
    <row r="1086" spans="1:28" hidden="1" x14ac:dyDescent="0.2">
      <c r="A1086" t="s">
        <v>1614</v>
      </c>
      <c r="B1086" t="s">
        <v>1615</v>
      </c>
      <c r="I1086">
        <v>0</v>
      </c>
      <c r="J1086" t="s">
        <v>53</v>
      </c>
      <c r="L1086" t="s">
        <v>113</v>
      </c>
      <c r="M1086" t="s">
        <v>299</v>
      </c>
      <c r="N1086" s="1">
        <v>44197</v>
      </c>
      <c r="O1086">
        <v>-1</v>
      </c>
      <c r="P1086" t="s">
        <v>2403</v>
      </c>
      <c r="Q1086" t="s">
        <v>2403</v>
      </c>
      <c r="R1086">
        <v>300</v>
      </c>
      <c r="S1086">
        <v>-37.130000000000003</v>
      </c>
      <c r="T1086">
        <v>-25.56</v>
      </c>
      <c r="U1086">
        <v>-35.08</v>
      </c>
      <c r="V1086" t="s">
        <v>32</v>
      </c>
      <c r="X1086" t="s">
        <v>32</v>
      </c>
      <c r="Y1086">
        <v>0</v>
      </c>
      <c r="Z1086" t="s">
        <v>2403</v>
      </c>
      <c r="AA1086" t="s">
        <v>2403</v>
      </c>
      <c r="AB1086" t="s">
        <v>2403</v>
      </c>
    </row>
    <row r="1087" spans="1:28" hidden="1" x14ac:dyDescent="0.2">
      <c r="A1087" t="s">
        <v>1406</v>
      </c>
      <c r="B1087" t="s">
        <v>1407</v>
      </c>
      <c r="L1087" t="s">
        <v>95</v>
      </c>
      <c r="M1087" t="s">
        <v>542</v>
      </c>
    </row>
    <row r="1088" spans="1:28" hidden="1" x14ac:dyDescent="0.2">
      <c r="A1088" t="s">
        <v>2322</v>
      </c>
      <c r="B1088" t="s">
        <v>2323</v>
      </c>
      <c r="F1088">
        <v>48</v>
      </c>
      <c r="H1088">
        <v>1</v>
      </c>
      <c r="I1088">
        <v>0</v>
      </c>
      <c r="K1088" s="1">
        <v>43316</v>
      </c>
      <c r="L1088" t="s">
        <v>35</v>
      </c>
      <c r="M1088" t="s">
        <v>106</v>
      </c>
      <c r="N1088" s="1">
        <v>44194</v>
      </c>
      <c r="R1088">
        <v>-17.39</v>
      </c>
      <c r="S1088">
        <v>8.2200000000000006</v>
      </c>
      <c r="T1088">
        <v>6.94</v>
      </c>
      <c r="U1088">
        <v>4.3099999999999996</v>
      </c>
      <c r="V1088" t="s">
        <v>32</v>
      </c>
      <c r="Y1088">
        <v>0.9</v>
      </c>
    </row>
    <row r="1089" spans="1:28" hidden="1" x14ac:dyDescent="0.2">
      <c r="A1089" t="s">
        <v>1432</v>
      </c>
      <c r="B1089" t="s">
        <v>1433</v>
      </c>
      <c r="F1089">
        <v>44</v>
      </c>
      <c r="H1089">
        <v>1</v>
      </c>
      <c r="I1089">
        <v>0</v>
      </c>
      <c r="K1089" s="1">
        <v>43316</v>
      </c>
      <c r="L1089" t="s">
        <v>95</v>
      </c>
      <c r="M1089" t="s">
        <v>558</v>
      </c>
    </row>
    <row r="1090" spans="1:28" hidden="1" x14ac:dyDescent="0.2">
      <c r="A1090" t="s">
        <v>2326</v>
      </c>
      <c r="B1090" t="s">
        <v>2327</v>
      </c>
      <c r="F1090">
        <v>56</v>
      </c>
      <c r="H1090">
        <v>1</v>
      </c>
      <c r="I1090">
        <v>0</v>
      </c>
      <c r="K1090" s="1">
        <v>43316</v>
      </c>
      <c r="L1090" t="s">
        <v>71</v>
      </c>
      <c r="M1090" t="s">
        <v>502</v>
      </c>
      <c r="N1090" s="1">
        <v>44194</v>
      </c>
      <c r="O1090">
        <v>491</v>
      </c>
      <c r="R1090">
        <v>14.14</v>
      </c>
      <c r="S1090">
        <v>1.53</v>
      </c>
      <c r="T1090">
        <v>5.2</v>
      </c>
      <c r="U1090">
        <v>8.76</v>
      </c>
      <c r="V1090">
        <v>4.16</v>
      </c>
      <c r="X1090">
        <v>6</v>
      </c>
      <c r="Y1090">
        <v>0.5</v>
      </c>
      <c r="Z1090">
        <v>7</v>
      </c>
      <c r="AA1090">
        <v>2.96</v>
      </c>
      <c r="AB1090">
        <v>5.73</v>
      </c>
    </row>
    <row r="1091" spans="1:28" hidden="1" x14ac:dyDescent="0.2">
      <c r="A1091" t="s">
        <v>879</v>
      </c>
      <c r="B1091" t="s">
        <v>880</v>
      </c>
      <c r="F1091">
        <v>43</v>
      </c>
      <c r="H1091">
        <v>0</v>
      </c>
      <c r="I1091">
        <v>0</v>
      </c>
      <c r="K1091" s="1">
        <v>43316</v>
      </c>
      <c r="L1091" t="s">
        <v>881</v>
      </c>
      <c r="M1091" t="s">
        <v>882</v>
      </c>
      <c r="N1091" s="1">
        <v>44197</v>
      </c>
      <c r="O1091">
        <v>6</v>
      </c>
      <c r="P1091" t="s">
        <v>2403</v>
      </c>
      <c r="Q1091" t="s">
        <v>2403</v>
      </c>
      <c r="R1091">
        <v>15.87</v>
      </c>
      <c r="S1091">
        <v>-7.75</v>
      </c>
      <c r="T1091">
        <v>-6.57</v>
      </c>
      <c r="U1091">
        <v>4.1399999999999997</v>
      </c>
      <c r="V1091">
        <v>5.0199999999999996</v>
      </c>
      <c r="X1091" t="s">
        <v>32</v>
      </c>
      <c r="Y1091">
        <v>0</v>
      </c>
      <c r="Z1091">
        <v>1.36</v>
      </c>
      <c r="AA1091">
        <v>3.54</v>
      </c>
      <c r="AB1091">
        <v>6.58</v>
      </c>
    </row>
    <row r="1092" spans="1:28" hidden="1" x14ac:dyDescent="0.2">
      <c r="A1092" t="s">
        <v>2330</v>
      </c>
      <c r="B1092" t="s">
        <v>2331</v>
      </c>
      <c r="F1092">
        <v>64</v>
      </c>
      <c r="H1092">
        <v>1</v>
      </c>
      <c r="I1092">
        <v>0</v>
      </c>
      <c r="K1092" s="1">
        <v>43316</v>
      </c>
      <c r="L1092" t="s">
        <v>43</v>
      </c>
      <c r="M1092" t="s">
        <v>676</v>
      </c>
      <c r="N1092" s="1">
        <v>44194</v>
      </c>
      <c r="Q1092">
        <v>1.99</v>
      </c>
      <c r="R1092">
        <v>-16.690000000000001</v>
      </c>
      <c r="S1092">
        <v>-9.9600000000000009</v>
      </c>
      <c r="T1092">
        <v>13.19</v>
      </c>
      <c r="U1092">
        <v>4.59</v>
      </c>
      <c r="V1092">
        <v>8.3800000000000008</v>
      </c>
      <c r="Y1092">
        <v>0</v>
      </c>
      <c r="Z1092">
        <v>-61.07</v>
      </c>
      <c r="AA1092">
        <v>-13.73</v>
      </c>
      <c r="AB1092">
        <v>-209.01</v>
      </c>
    </row>
    <row r="1093" spans="1:28" hidden="1" x14ac:dyDescent="0.2">
      <c r="A1093" t="s">
        <v>2332</v>
      </c>
      <c r="B1093" t="s">
        <v>2333</v>
      </c>
      <c r="F1093">
        <v>13</v>
      </c>
      <c r="H1093">
        <v>1</v>
      </c>
      <c r="I1093">
        <v>0</v>
      </c>
      <c r="K1093" s="1">
        <v>43316</v>
      </c>
      <c r="L1093" t="s">
        <v>30</v>
      </c>
      <c r="M1093" t="s">
        <v>1573</v>
      </c>
      <c r="N1093" s="1">
        <v>44194</v>
      </c>
      <c r="R1093">
        <v>46.77</v>
      </c>
      <c r="S1093">
        <v>-22.32</v>
      </c>
      <c r="T1093">
        <v>15.62</v>
      </c>
      <c r="U1093">
        <v>-11.01</v>
      </c>
      <c r="V1093">
        <v>-5.28</v>
      </c>
      <c r="Y1093">
        <v>0</v>
      </c>
      <c r="Z1093">
        <v>-18.809999999999999</v>
      </c>
      <c r="AA1093">
        <v>-16.62</v>
      </c>
      <c r="AB1093">
        <v>-49.22</v>
      </c>
    </row>
    <row r="1094" spans="1:28" hidden="1" x14ac:dyDescent="0.2">
      <c r="A1094" t="s">
        <v>2334</v>
      </c>
      <c r="B1094" t="s">
        <v>2335</v>
      </c>
      <c r="F1094">
        <v>73</v>
      </c>
      <c r="H1094">
        <v>1</v>
      </c>
      <c r="I1094">
        <v>0</v>
      </c>
      <c r="K1094" s="1">
        <v>43316</v>
      </c>
      <c r="L1094" t="s">
        <v>226</v>
      </c>
      <c r="M1094" t="s">
        <v>243</v>
      </c>
      <c r="N1094" s="1">
        <v>44194</v>
      </c>
      <c r="R1094">
        <v>-26.95</v>
      </c>
      <c r="S1094">
        <v>-31.61</v>
      </c>
      <c r="T1094">
        <v>-14.84</v>
      </c>
      <c r="U1094">
        <v>-7.08</v>
      </c>
      <c r="V1094">
        <v>0.12</v>
      </c>
      <c r="Y1094">
        <v>0</v>
      </c>
      <c r="Z1094">
        <v>-133.63999999999999</v>
      </c>
      <c r="AA1094">
        <v>-38.94</v>
      </c>
      <c r="AB1094">
        <v>-87.62</v>
      </c>
    </row>
    <row r="1095" spans="1:28" hidden="1" x14ac:dyDescent="0.2">
      <c r="A1095" t="s">
        <v>2336</v>
      </c>
      <c r="B1095" t="s">
        <v>2337</v>
      </c>
      <c r="F1095">
        <v>38</v>
      </c>
      <c r="H1095">
        <v>1</v>
      </c>
      <c r="I1095">
        <v>0</v>
      </c>
      <c r="K1095" s="1">
        <v>43316</v>
      </c>
      <c r="L1095" t="s">
        <v>113</v>
      </c>
      <c r="M1095" t="s">
        <v>124</v>
      </c>
      <c r="N1095" s="1">
        <v>44194</v>
      </c>
      <c r="Q1095">
        <v>2.52</v>
      </c>
      <c r="R1095">
        <v>6.22</v>
      </c>
      <c r="S1095">
        <v>13.44</v>
      </c>
      <c r="T1095">
        <v>15.09</v>
      </c>
      <c r="U1095">
        <v>12.83</v>
      </c>
      <c r="V1095">
        <v>10.43</v>
      </c>
      <c r="Y1095">
        <v>3.6</v>
      </c>
      <c r="Z1095">
        <v>12.98</v>
      </c>
      <c r="AA1095">
        <v>2.84</v>
      </c>
      <c r="AB1095">
        <v>10.97</v>
      </c>
    </row>
    <row r="1096" spans="1:28" hidden="1" x14ac:dyDescent="0.2">
      <c r="A1096" s="2" t="s">
        <v>2396</v>
      </c>
      <c r="B1096" t="s">
        <v>2397</v>
      </c>
      <c r="F1096">
        <v>46</v>
      </c>
      <c r="H1096">
        <v>0</v>
      </c>
      <c r="I1096">
        <v>0</v>
      </c>
      <c r="K1096" s="1">
        <v>43316</v>
      </c>
      <c r="L1096" t="s">
        <v>881</v>
      </c>
      <c r="M1096" t="s">
        <v>2398</v>
      </c>
    </row>
    <row r="1097" spans="1:28" hidden="1" x14ac:dyDescent="0.2">
      <c r="A1097" s="2" t="s">
        <v>2399</v>
      </c>
      <c r="B1097" t="s">
        <v>2400</v>
      </c>
      <c r="F1097">
        <v>93</v>
      </c>
      <c r="H1097">
        <v>1</v>
      </c>
      <c r="I1097">
        <v>0</v>
      </c>
      <c r="K1097" s="1">
        <v>43316</v>
      </c>
      <c r="L1097" t="s">
        <v>95</v>
      </c>
      <c r="M1097" t="s">
        <v>558</v>
      </c>
    </row>
    <row r="1098" spans="1:28" hidden="1" x14ac:dyDescent="0.2">
      <c r="A1098" s="2" t="s">
        <v>2401</v>
      </c>
      <c r="B1098" t="s">
        <v>2402</v>
      </c>
      <c r="F1098">
        <v>39</v>
      </c>
      <c r="H1098">
        <v>1</v>
      </c>
      <c r="I1098">
        <v>0</v>
      </c>
      <c r="K1098" s="1">
        <v>43316</v>
      </c>
      <c r="L1098" t="s">
        <v>43</v>
      </c>
      <c r="M1098" t="s">
        <v>596</v>
      </c>
    </row>
    <row r="1099" spans="1:28" hidden="1" x14ac:dyDescent="0.2">
      <c r="A1099" s="2" t="s">
        <v>2338</v>
      </c>
      <c r="B1099" t="s">
        <v>2339</v>
      </c>
      <c r="J1099" t="s">
        <v>1029</v>
      </c>
    </row>
    <row r="1100" spans="1:28" hidden="1" x14ac:dyDescent="0.2">
      <c r="A1100" t="s">
        <v>2346</v>
      </c>
      <c r="B1100" t="s">
        <v>2347</v>
      </c>
      <c r="F1100">
        <v>58</v>
      </c>
      <c r="H1100">
        <v>1</v>
      </c>
      <c r="I1100">
        <v>0</v>
      </c>
      <c r="K1100" s="1">
        <v>43316</v>
      </c>
      <c r="L1100" t="s">
        <v>226</v>
      </c>
      <c r="M1100" t="s">
        <v>657</v>
      </c>
      <c r="N1100" s="1">
        <v>44194</v>
      </c>
      <c r="Q1100">
        <v>9.1300000000000008</v>
      </c>
      <c r="R1100">
        <v>-35.299999999999997</v>
      </c>
      <c r="S1100">
        <v>-14.85</v>
      </c>
      <c r="T1100">
        <v>-5.96</v>
      </c>
      <c r="U1100">
        <v>-0.48</v>
      </c>
      <c r="V1100">
        <v>2.17</v>
      </c>
      <c r="Y1100">
        <v>2.7</v>
      </c>
      <c r="Z1100">
        <v>1.7</v>
      </c>
      <c r="AA1100">
        <v>0.93</v>
      </c>
      <c r="AB1100">
        <v>1.81</v>
      </c>
    </row>
    <row r="1101" spans="1:28" hidden="1" x14ac:dyDescent="0.2">
      <c r="A1101" t="s">
        <v>2348</v>
      </c>
      <c r="B1101" t="s">
        <v>2349</v>
      </c>
      <c r="F1101">
        <v>67</v>
      </c>
      <c r="G1101">
        <v>3.8</v>
      </c>
      <c r="J1101" t="s">
        <v>80</v>
      </c>
      <c r="K1101" s="1">
        <v>43716</v>
      </c>
      <c r="L1101" t="s">
        <v>39</v>
      </c>
      <c r="M1101" t="s">
        <v>545</v>
      </c>
      <c r="N1101" s="1">
        <v>44194</v>
      </c>
      <c r="R1101">
        <v>46.74</v>
      </c>
      <c r="S1101">
        <v>8.85</v>
      </c>
      <c r="T1101">
        <v>34.31</v>
      </c>
      <c r="U1101">
        <v>29.22</v>
      </c>
      <c r="V1101">
        <v>28.44</v>
      </c>
      <c r="Y1101">
        <v>2.5</v>
      </c>
      <c r="Z1101">
        <v>0.51</v>
      </c>
      <c r="AA1101">
        <v>0.54</v>
      </c>
      <c r="AB1101">
        <v>3.11</v>
      </c>
    </row>
    <row r="1102" spans="1:28" hidden="1" x14ac:dyDescent="0.2">
      <c r="A1102" t="s">
        <v>2350</v>
      </c>
      <c r="B1102" t="s">
        <v>2351</v>
      </c>
      <c r="F1102">
        <v>51</v>
      </c>
      <c r="H1102">
        <v>1</v>
      </c>
      <c r="I1102">
        <v>0</v>
      </c>
      <c r="K1102" s="1">
        <v>43316</v>
      </c>
      <c r="L1102" t="s">
        <v>26</v>
      </c>
      <c r="M1102" t="s">
        <v>332</v>
      </c>
      <c r="N1102" s="1">
        <v>44194</v>
      </c>
      <c r="Q1102">
        <v>0.79</v>
      </c>
      <c r="R1102">
        <v>-7.27</v>
      </c>
      <c r="S1102">
        <v>-7</v>
      </c>
      <c r="T1102">
        <v>-2.44</v>
      </c>
      <c r="U1102">
        <v>4.83</v>
      </c>
      <c r="V1102">
        <v>4.9800000000000004</v>
      </c>
      <c r="Y1102">
        <v>0</v>
      </c>
      <c r="Z1102">
        <v>-2.35</v>
      </c>
      <c r="AA1102">
        <v>-0.92</v>
      </c>
      <c r="AB1102">
        <v>-1.61</v>
      </c>
    </row>
    <row r="1103" spans="1:28" hidden="1" x14ac:dyDescent="0.2">
      <c r="A1103" t="s">
        <v>2352</v>
      </c>
      <c r="B1103" t="s">
        <v>2353</v>
      </c>
      <c r="F1103">
        <v>22</v>
      </c>
      <c r="H1103">
        <v>1</v>
      </c>
      <c r="I1103">
        <v>0</v>
      </c>
      <c r="K1103" s="1">
        <v>43316</v>
      </c>
      <c r="L1103" t="s">
        <v>95</v>
      </c>
      <c r="M1103" t="s">
        <v>511</v>
      </c>
      <c r="N1103" s="1">
        <v>44194</v>
      </c>
      <c r="O1103">
        <v>933</v>
      </c>
      <c r="R1103">
        <v>-34.92</v>
      </c>
      <c r="S1103">
        <v>-4.03</v>
      </c>
      <c r="T1103">
        <v>-10.99</v>
      </c>
      <c r="U1103">
        <v>-4.88</v>
      </c>
      <c r="V1103">
        <v>-4.3499999999999996</v>
      </c>
      <c r="X1103">
        <v>329</v>
      </c>
      <c r="Y1103">
        <v>0</v>
      </c>
      <c r="Z1103">
        <v>12.19</v>
      </c>
      <c r="AA1103">
        <v>6.12</v>
      </c>
      <c r="AB1103">
        <v>17.84</v>
      </c>
    </row>
    <row r="1104" spans="1:28" hidden="1" x14ac:dyDescent="0.2">
      <c r="A1104" t="s">
        <v>2373</v>
      </c>
      <c r="B1104" t="s">
        <v>2374</v>
      </c>
      <c r="N1104" s="1">
        <v>44197</v>
      </c>
      <c r="O1104">
        <v>-573</v>
      </c>
      <c r="P1104" t="s">
        <v>2403</v>
      </c>
      <c r="Q1104" t="s">
        <v>32</v>
      </c>
      <c r="R1104">
        <v>-60.55</v>
      </c>
      <c r="S1104" t="s">
        <v>32</v>
      </c>
      <c r="T1104" t="s">
        <v>32</v>
      </c>
      <c r="U1104" t="s">
        <v>32</v>
      </c>
      <c r="V1104" t="s">
        <v>32</v>
      </c>
      <c r="X1104" t="s">
        <v>32</v>
      </c>
      <c r="Y1104">
        <v>0</v>
      </c>
      <c r="Z1104">
        <v>-30.61</v>
      </c>
      <c r="AA1104">
        <v>-7.3</v>
      </c>
      <c r="AB1104">
        <v>-14.43</v>
      </c>
    </row>
    <row r="1105" spans="1:28" hidden="1" x14ac:dyDescent="0.2">
      <c r="A1105" s="2" t="s">
        <v>2342</v>
      </c>
      <c r="B1105" t="s">
        <v>2343</v>
      </c>
    </row>
    <row r="1106" spans="1:28" hidden="1" x14ac:dyDescent="0.2">
      <c r="A1106" t="s">
        <v>980</v>
      </c>
      <c r="B1106" t="s">
        <v>981</v>
      </c>
      <c r="K1106" s="1">
        <v>43716</v>
      </c>
      <c r="L1106" t="s">
        <v>35</v>
      </c>
      <c r="M1106" t="s">
        <v>129</v>
      </c>
      <c r="N1106" s="1">
        <v>44197</v>
      </c>
      <c r="O1106">
        <v>-26</v>
      </c>
      <c r="P1106" t="s">
        <v>2403</v>
      </c>
      <c r="Q1106" t="s">
        <v>32</v>
      </c>
      <c r="R1106">
        <v>-22.62</v>
      </c>
      <c r="S1106">
        <v>1.25</v>
      </c>
      <c r="T1106">
        <v>5.3</v>
      </c>
      <c r="U1106">
        <v>7.49</v>
      </c>
      <c r="V1106">
        <v>6.17</v>
      </c>
      <c r="X1106" t="s">
        <v>32</v>
      </c>
      <c r="Y1106">
        <v>0</v>
      </c>
      <c r="Z1106">
        <v>-0.3</v>
      </c>
      <c r="AA1106">
        <v>-0.09</v>
      </c>
      <c r="AB1106">
        <v>-0.28999999999999998</v>
      </c>
    </row>
    <row r="1107" spans="1:28" hidden="1" x14ac:dyDescent="0.2">
      <c r="A1107" t="s">
        <v>2360</v>
      </c>
      <c r="B1107" t="s">
        <v>2361</v>
      </c>
      <c r="L1107" t="s">
        <v>95</v>
      </c>
      <c r="M1107" t="s">
        <v>232</v>
      </c>
      <c r="N1107" s="1">
        <v>44194</v>
      </c>
      <c r="R1107">
        <v>-11.39</v>
      </c>
      <c r="S1107">
        <v>-9.91</v>
      </c>
      <c r="T1107">
        <v>2.0699999999999998</v>
      </c>
      <c r="U1107" t="s">
        <v>32</v>
      </c>
      <c r="V1107" t="s">
        <v>32</v>
      </c>
      <c r="Y1107">
        <v>0</v>
      </c>
      <c r="Z1107">
        <v>-2.57</v>
      </c>
      <c r="AA1107">
        <v>-2.16</v>
      </c>
      <c r="AB1107">
        <v>-3.08</v>
      </c>
    </row>
    <row r="1108" spans="1:28" hidden="1" x14ac:dyDescent="0.2">
      <c r="A1108" t="s">
        <v>849</v>
      </c>
      <c r="B1108" t="s">
        <v>850</v>
      </c>
      <c r="F1108">
        <v>66</v>
      </c>
      <c r="G1108">
        <v>3.8</v>
      </c>
      <c r="H1108">
        <v>1</v>
      </c>
      <c r="I1108">
        <v>0</v>
      </c>
      <c r="J1108" t="s">
        <v>80</v>
      </c>
      <c r="K1108" s="1">
        <v>43716</v>
      </c>
      <c r="L1108" t="s">
        <v>26</v>
      </c>
      <c r="M1108" t="s">
        <v>238</v>
      </c>
    </row>
    <row r="1109" spans="1:28" hidden="1" x14ac:dyDescent="0.2">
      <c r="A1109" t="s">
        <v>2383</v>
      </c>
      <c r="B1109" t="s">
        <v>2384</v>
      </c>
      <c r="N1109" s="1">
        <v>44197</v>
      </c>
      <c r="O1109">
        <v>-107</v>
      </c>
      <c r="P1109" t="s">
        <v>2403</v>
      </c>
      <c r="Q1109" t="s">
        <v>32</v>
      </c>
      <c r="R1109">
        <v>9.02</v>
      </c>
      <c r="S1109">
        <v>9.33</v>
      </c>
      <c r="T1109" t="s">
        <v>32</v>
      </c>
      <c r="U1109" t="s">
        <v>32</v>
      </c>
      <c r="V1109" t="s">
        <v>32</v>
      </c>
      <c r="X1109">
        <v>57</v>
      </c>
      <c r="Y1109">
        <v>0</v>
      </c>
      <c r="Z1109">
        <v>-31.11</v>
      </c>
      <c r="AA1109">
        <v>-21.38</v>
      </c>
      <c r="AB1109">
        <v>-51.79</v>
      </c>
    </row>
    <row r="1110" spans="1:28" hidden="1" x14ac:dyDescent="0.2">
      <c r="A1110" s="2" t="s">
        <v>2354</v>
      </c>
      <c r="B1110" t="s">
        <v>2355</v>
      </c>
    </row>
    <row r="1111" spans="1:28" hidden="1" x14ac:dyDescent="0.2">
      <c r="A1111" t="s">
        <v>2367</v>
      </c>
      <c r="B1111" t="s">
        <v>2368</v>
      </c>
      <c r="F1111">
        <v>60</v>
      </c>
      <c r="H1111">
        <v>0</v>
      </c>
      <c r="I1111">
        <v>0</v>
      </c>
      <c r="K1111" s="1">
        <v>43316</v>
      </c>
      <c r="L1111" t="s">
        <v>43</v>
      </c>
      <c r="M1111" t="s">
        <v>264</v>
      </c>
      <c r="N1111" s="1">
        <v>44194</v>
      </c>
      <c r="R1111">
        <v>9.58</v>
      </c>
      <c r="S1111">
        <v>11.56</v>
      </c>
      <c r="T1111">
        <v>14.21</v>
      </c>
      <c r="U1111">
        <v>11.81</v>
      </c>
      <c r="V1111">
        <v>13.24</v>
      </c>
      <c r="Y1111">
        <v>2.4</v>
      </c>
    </row>
    <row r="1112" spans="1:28" hidden="1" x14ac:dyDescent="0.2">
      <c r="A1112" t="s">
        <v>2362</v>
      </c>
      <c r="B1112" t="s">
        <v>2363</v>
      </c>
    </row>
    <row r="1113" spans="1:28" hidden="1" x14ac:dyDescent="0.2">
      <c r="A1113" t="s">
        <v>2371</v>
      </c>
      <c r="B1113" t="s">
        <v>2372</v>
      </c>
      <c r="H1113">
        <v>1</v>
      </c>
      <c r="I1113">
        <v>0</v>
      </c>
      <c r="J1113" t="s">
        <v>68</v>
      </c>
      <c r="K1113" s="1">
        <v>43316</v>
      </c>
      <c r="L1113" t="s">
        <v>95</v>
      </c>
      <c r="M1113" t="s">
        <v>232</v>
      </c>
      <c r="N1113" s="1">
        <v>44194</v>
      </c>
      <c r="O1113">
        <v>9861</v>
      </c>
      <c r="Q1113">
        <v>0.35</v>
      </c>
      <c r="R1113">
        <v>41.54</v>
      </c>
      <c r="S1113">
        <v>-11.95</v>
      </c>
      <c r="T1113">
        <v>4.1500000000000004</v>
      </c>
      <c r="U1113" t="s">
        <v>32</v>
      </c>
      <c r="V1113" t="s">
        <v>32</v>
      </c>
      <c r="X1113">
        <v>3028</v>
      </c>
      <c r="Y1113">
        <v>0.4</v>
      </c>
      <c r="Z1113">
        <v>32.229999999999997</v>
      </c>
      <c r="AA1113">
        <v>18.66</v>
      </c>
      <c r="AB1113">
        <v>26</v>
      </c>
    </row>
    <row r="1114" spans="1:28" hidden="1" x14ac:dyDescent="0.2">
      <c r="A1114" s="2" t="s">
        <v>1058</v>
      </c>
      <c r="B1114" t="s">
        <v>1059</v>
      </c>
      <c r="K1114" s="1">
        <v>43716</v>
      </c>
      <c r="L1114" t="s">
        <v>95</v>
      </c>
      <c r="M1114" t="s">
        <v>232</v>
      </c>
    </row>
    <row r="1115" spans="1:28" hidden="1" x14ac:dyDescent="0.2">
      <c r="A1115" t="s">
        <v>2375</v>
      </c>
      <c r="B1115" t="s">
        <v>2376</v>
      </c>
      <c r="F1115">
        <v>33</v>
      </c>
      <c r="H1115">
        <v>1</v>
      </c>
      <c r="I1115">
        <v>0</v>
      </c>
      <c r="K1115" s="1">
        <v>43316</v>
      </c>
      <c r="L1115" t="s">
        <v>26</v>
      </c>
      <c r="M1115" t="s">
        <v>77</v>
      </c>
      <c r="N1115" s="1">
        <v>44194</v>
      </c>
      <c r="R1115">
        <v>-0.11</v>
      </c>
      <c r="S1115">
        <v>7.62</v>
      </c>
      <c r="T1115">
        <v>8.52</v>
      </c>
      <c r="U1115">
        <v>11.23</v>
      </c>
      <c r="V1115">
        <v>5.68</v>
      </c>
      <c r="Y1115">
        <v>38.4</v>
      </c>
      <c r="Z1115">
        <v>-2.15</v>
      </c>
      <c r="AA1115">
        <v>-0.63</v>
      </c>
      <c r="AB1115">
        <v>-1.27</v>
      </c>
    </row>
    <row r="1116" spans="1:28" hidden="1" x14ac:dyDescent="0.2">
      <c r="A1116" t="s">
        <v>2364</v>
      </c>
      <c r="B1116" t="s">
        <v>1900</v>
      </c>
      <c r="J1116" t="s">
        <v>53</v>
      </c>
    </row>
    <row r="1117" spans="1:28" hidden="1" x14ac:dyDescent="0.2">
      <c r="A1117" t="s">
        <v>1232</v>
      </c>
      <c r="B1117" t="s">
        <v>1233</v>
      </c>
      <c r="F1117">
        <v>53</v>
      </c>
      <c r="H1117">
        <v>1</v>
      </c>
      <c r="I1117">
        <v>0</v>
      </c>
      <c r="K1117" s="1">
        <v>43316</v>
      </c>
      <c r="L1117" t="s">
        <v>1234</v>
      </c>
      <c r="M1117" t="s">
        <v>1235</v>
      </c>
    </row>
    <row r="1118" spans="1:28" hidden="1" x14ac:dyDescent="0.2">
      <c r="A1118" t="s">
        <v>2381</v>
      </c>
      <c r="B1118" t="s">
        <v>2382</v>
      </c>
      <c r="F1118">
        <v>63</v>
      </c>
      <c r="H1118">
        <v>1</v>
      </c>
      <c r="I1118">
        <v>0</v>
      </c>
      <c r="K1118" s="1">
        <v>43316</v>
      </c>
      <c r="L1118" t="s">
        <v>35</v>
      </c>
      <c r="M1118" t="s">
        <v>235</v>
      </c>
      <c r="N1118" s="1">
        <v>44194</v>
      </c>
      <c r="Q1118">
        <v>3.52</v>
      </c>
      <c r="R1118">
        <v>-13.17</v>
      </c>
      <c r="S1118">
        <v>-2.87</v>
      </c>
      <c r="T1118">
        <v>11.56</v>
      </c>
      <c r="U1118">
        <v>7.05</v>
      </c>
      <c r="V1118">
        <v>-2.39</v>
      </c>
      <c r="Y1118">
        <v>3.1</v>
      </c>
      <c r="Z1118">
        <v>14.37</v>
      </c>
      <c r="AA1118">
        <v>0.54</v>
      </c>
      <c r="AB1118">
        <v>5.7</v>
      </c>
    </row>
    <row r="1119" spans="1:28" hidden="1" x14ac:dyDescent="0.2">
      <c r="A1119" t="s">
        <v>2379</v>
      </c>
      <c r="B1119" t="s">
        <v>2380</v>
      </c>
    </row>
    <row r="1120" spans="1:28" hidden="1" x14ac:dyDescent="0.2">
      <c r="A1120" t="s">
        <v>2385</v>
      </c>
      <c r="B1120" t="s">
        <v>2386</v>
      </c>
      <c r="H1120">
        <v>1</v>
      </c>
      <c r="I1120">
        <v>0</v>
      </c>
      <c r="J1120" t="s">
        <v>68</v>
      </c>
      <c r="K1120" s="1">
        <v>43316</v>
      </c>
      <c r="L1120" t="s">
        <v>95</v>
      </c>
      <c r="M1120" t="s">
        <v>741</v>
      </c>
    </row>
    <row r="1121" spans="1:2" hidden="1" x14ac:dyDescent="0.2">
      <c r="A1121" s="2" t="s">
        <v>2387</v>
      </c>
      <c r="B1121" t="s">
        <v>2388</v>
      </c>
    </row>
  </sheetData>
  <autoFilter ref="A1:AB1121" xr:uid="{00000000-0009-0000-0000-000000000000}">
    <filterColumn colId="0">
      <colorFilter dxfId="1"/>
    </filterColumn>
  </autoFilter>
  <pageMargins left="0.75" right="0.75" top="1" bottom="1" header="0.5" footer="0.5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O52"/>
  <sheetViews>
    <sheetView topLeftCell="A33" workbookViewId="0">
      <selection activeCell="B52" sqref="B34:D52"/>
    </sheetView>
  </sheetViews>
  <sheetFormatPr baseColWidth="10" defaultRowHeight="16" x14ac:dyDescent="0.2"/>
  <cols>
    <col min="2" max="2" width="13.5" bestFit="1" customWidth="1"/>
    <col min="3" max="3" width="19.6640625" bestFit="1" customWidth="1"/>
    <col min="4" max="4" width="27.1640625" bestFit="1" customWidth="1"/>
    <col min="5" max="5" width="19.6640625" bestFit="1" customWidth="1"/>
    <col min="6" max="6" width="27.33203125" customWidth="1"/>
    <col min="7" max="7" width="12.1640625" hidden="1" customWidth="1"/>
    <col min="8" max="8" width="25" bestFit="1" customWidth="1"/>
    <col min="9" max="9" width="20.83203125" hidden="1" customWidth="1"/>
    <col min="11" max="12" width="0" hidden="1" customWidth="1"/>
    <col min="14" max="15" width="0" hidden="1" customWidth="1"/>
  </cols>
  <sheetData>
    <row r="2" spans="2:15" x14ac:dyDescent="0.2">
      <c r="C2">
        <f>521/10000</f>
        <v>5.21E-2</v>
      </c>
    </row>
    <row r="3" spans="2:15" x14ac:dyDescent="0.2">
      <c r="C3">
        <f>1161/15000</f>
        <v>7.7399999999999997E-2</v>
      </c>
    </row>
    <row r="4" spans="2:15" x14ac:dyDescent="0.2">
      <c r="C4">
        <f>367/5000</f>
        <v>7.3400000000000007E-2</v>
      </c>
    </row>
    <row r="10" spans="2:15" x14ac:dyDescent="0.2">
      <c r="B10" t="s">
        <v>2449</v>
      </c>
      <c r="C10" s="3" t="s">
        <v>2416</v>
      </c>
      <c r="D10" s="3" t="s">
        <v>159</v>
      </c>
      <c r="E10" s="3" t="s">
        <v>2417</v>
      </c>
      <c r="F10" s="3" t="s">
        <v>2418</v>
      </c>
      <c r="G10" s="3" t="s">
        <v>2432</v>
      </c>
      <c r="H10" s="3" t="s">
        <v>2452</v>
      </c>
      <c r="I10" s="3" t="s">
        <v>2454</v>
      </c>
      <c r="J10" s="3" t="s">
        <v>2259</v>
      </c>
      <c r="K10" s="3" t="s">
        <v>2303</v>
      </c>
      <c r="L10" s="3" t="s">
        <v>2457</v>
      </c>
      <c r="M10" s="3" t="s">
        <v>864</v>
      </c>
      <c r="N10" s="3" t="s">
        <v>2458</v>
      </c>
      <c r="O10" s="3" t="s">
        <v>2459</v>
      </c>
    </row>
    <row r="11" spans="2:15" x14ac:dyDescent="0.2">
      <c r="B11" s="3" t="s">
        <v>2419</v>
      </c>
      <c r="E11">
        <v>140000</v>
      </c>
      <c r="F11">
        <v>130000</v>
      </c>
      <c r="I11" t="s">
        <v>2460</v>
      </c>
      <c r="K11">
        <v>143000</v>
      </c>
      <c r="N11" t="s">
        <v>2460</v>
      </c>
    </row>
    <row r="12" spans="2:15" x14ac:dyDescent="0.2">
      <c r="B12" s="3" t="s">
        <v>2420</v>
      </c>
      <c r="E12" s="11">
        <v>0.05</v>
      </c>
    </row>
    <row r="13" spans="2:15" x14ac:dyDescent="0.2">
      <c r="B13" s="3" t="s">
        <v>2421</v>
      </c>
      <c r="E13" t="s">
        <v>2422</v>
      </c>
    </row>
    <row r="14" spans="2:15" x14ac:dyDescent="0.2">
      <c r="B14" s="3" t="s">
        <v>2423</v>
      </c>
      <c r="E14" t="s">
        <v>2424</v>
      </c>
      <c r="F14" t="s">
        <v>2451</v>
      </c>
    </row>
    <row r="15" spans="2:15" x14ac:dyDescent="0.2">
      <c r="B15" s="3" t="s">
        <v>2425</v>
      </c>
      <c r="C15" t="s">
        <v>2450</v>
      </c>
      <c r="E15" t="s">
        <v>2450</v>
      </c>
      <c r="F15" t="s">
        <v>2463</v>
      </c>
      <c r="G15" t="s">
        <v>2450</v>
      </c>
      <c r="H15" t="s">
        <v>2450</v>
      </c>
      <c r="I15" t="s">
        <v>2426</v>
      </c>
      <c r="J15" t="s">
        <v>2450</v>
      </c>
      <c r="K15" t="s">
        <v>2456</v>
      </c>
    </row>
    <row r="16" spans="2:15" x14ac:dyDescent="0.2">
      <c r="B16" s="3" t="s">
        <v>2427</v>
      </c>
      <c r="E16" s="5" t="s">
        <v>2428</v>
      </c>
    </row>
    <row r="17" spans="2:15" x14ac:dyDescent="0.2">
      <c r="B17" s="3" t="s">
        <v>2429</v>
      </c>
      <c r="C17">
        <v>81</v>
      </c>
      <c r="D17" t="s">
        <v>2443</v>
      </c>
      <c r="E17">
        <v>61</v>
      </c>
      <c r="F17" t="s">
        <v>2436</v>
      </c>
      <c r="G17">
        <v>75</v>
      </c>
      <c r="H17">
        <v>74</v>
      </c>
      <c r="I17">
        <v>57</v>
      </c>
      <c r="J17">
        <v>77</v>
      </c>
      <c r="L17">
        <v>70</v>
      </c>
      <c r="M17">
        <v>77</v>
      </c>
      <c r="N17">
        <v>56</v>
      </c>
      <c r="O17">
        <v>73</v>
      </c>
    </row>
    <row r="18" spans="2:15" x14ac:dyDescent="0.2">
      <c r="B18" s="3" t="s">
        <v>3</v>
      </c>
      <c r="C18">
        <v>4.3</v>
      </c>
      <c r="D18" t="s">
        <v>2442</v>
      </c>
      <c r="E18" s="6">
        <v>3.5</v>
      </c>
      <c r="F18" t="s">
        <v>2437</v>
      </c>
      <c r="G18">
        <v>3.7</v>
      </c>
      <c r="H18">
        <v>3.9</v>
      </c>
      <c r="I18" s="6">
        <v>3.4</v>
      </c>
      <c r="J18">
        <v>3.9</v>
      </c>
      <c r="K18" s="6">
        <v>3.3</v>
      </c>
      <c r="L18">
        <v>3.6</v>
      </c>
      <c r="M18">
        <v>3.9</v>
      </c>
      <c r="N18" s="6">
        <v>3.3</v>
      </c>
      <c r="O18" s="6">
        <v>3.5</v>
      </c>
    </row>
    <row r="19" spans="2:15" x14ac:dyDescent="0.2">
      <c r="B19" s="3" t="s">
        <v>2430</v>
      </c>
      <c r="C19">
        <v>82</v>
      </c>
      <c r="D19" t="s">
        <v>2440</v>
      </c>
      <c r="E19">
        <v>63</v>
      </c>
      <c r="F19" t="s">
        <v>2438</v>
      </c>
      <c r="G19">
        <v>56</v>
      </c>
      <c r="H19">
        <v>69</v>
      </c>
      <c r="I19">
        <v>36</v>
      </c>
      <c r="J19">
        <v>64</v>
      </c>
      <c r="L19">
        <v>62</v>
      </c>
      <c r="M19">
        <v>42</v>
      </c>
      <c r="N19">
        <v>54</v>
      </c>
      <c r="O19">
        <v>54</v>
      </c>
    </row>
    <row r="20" spans="2:15" x14ac:dyDescent="0.2">
      <c r="B20" s="3" t="s">
        <v>2431</v>
      </c>
      <c r="C20">
        <v>4.2</v>
      </c>
      <c r="D20" t="s">
        <v>2441</v>
      </c>
      <c r="E20">
        <v>3</v>
      </c>
      <c r="F20" t="s">
        <v>2439</v>
      </c>
      <c r="G20">
        <v>3.4</v>
      </c>
      <c r="H20">
        <v>3.6</v>
      </c>
      <c r="I20">
        <v>2.9</v>
      </c>
      <c r="J20">
        <v>3.6</v>
      </c>
      <c r="L20">
        <v>3.6</v>
      </c>
      <c r="M20">
        <v>3.4</v>
      </c>
      <c r="N20">
        <v>2.8</v>
      </c>
      <c r="O20">
        <v>3.4</v>
      </c>
    </row>
    <row r="21" spans="2:15" x14ac:dyDescent="0.2">
      <c r="B21" s="3" t="s">
        <v>2433</v>
      </c>
      <c r="D21" t="s">
        <v>2444</v>
      </c>
      <c r="E21" t="s">
        <v>2446</v>
      </c>
      <c r="F21" t="s">
        <v>2445</v>
      </c>
      <c r="G21" t="s">
        <v>2434</v>
      </c>
      <c r="H21" t="s">
        <v>2453</v>
      </c>
      <c r="I21" t="s">
        <v>2444</v>
      </c>
      <c r="J21" t="s">
        <v>2461</v>
      </c>
      <c r="K21" t="s">
        <v>2462</v>
      </c>
      <c r="L21" t="s">
        <v>2461</v>
      </c>
      <c r="M21" t="s">
        <v>2461</v>
      </c>
      <c r="O21" t="s">
        <v>2461</v>
      </c>
    </row>
    <row r="22" spans="2:15" x14ac:dyDescent="0.2">
      <c r="F22" t="s">
        <v>2435</v>
      </c>
    </row>
    <row r="23" spans="2:15" x14ac:dyDescent="0.2">
      <c r="D23" t="s">
        <v>2448</v>
      </c>
      <c r="F23" t="s">
        <v>2447</v>
      </c>
    </row>
    <row r="24" spans="2:15" x14ac:dyDescent="0.2">
      <c r="B24" t="s">
        <v>2455</v>
      </c>
      <c r="C24">
        <v>1.2</v>
      </c>
      <c r="D24">
        <v>2.2999999999999998</v>
      </c>
      <c r="E24">
        <v>2.9</v>
      </c>
      <c r="F24">
        <v>1.7</v>
      </c>
      <c r="G24">
        <v>3.7</v>
      </c>
      <c r="H24">
        <v>1.2</v>
      </c>
      <c r="I24">
        <v>4.3</v>
      </c>
      <c r="J24">
        <v>7.6</v>
      </c>
      <c r="M24">
        <v>3.8</v>
      </c>
    </row>
    <row r="25" spans="2:15" x14ac:dyDescent="0.2">
      <c r="D25" t="s">
        <v>2465</v>
      </c>
      <c r="F25" t="s">
        <v>2465</v>
      </c>
      <c r="J25" t="s">
        <v>2465</v>
      </c>
      <c r="M25" t="s">
        <v>2464</v>
      </c>
    </row>
    <row r="32" spans="2:15" x14ac:dyDescent="0.2">
      <c r="C32">
        <f>140000*0.05</f>
        <v>7000</v>
      </c>
    </row>
    <row r="34" spans="2:11" x14ac:dyDescent="0.2">
      <c r="B34" s="19" t="s">
        <v>2449</v>
      </c>
      <c r="C34" s="20" t="s">
        <v>2417</v>
      </c>
      <c r="D34" s="20" t="s">
        <v>2418</v>
      </c>
      <c r="E34" s="16"/>
      <c r="F34" s="16"/>
      <c r="G34" s="16"/>
      <c r="H34" s="16"/>
      <c r="I34" s="16"/>
      <c r="J34" s="16"/>
      <c r="K34" s="17"/>
    </row>
    <row r="35" spans="2:11" ht="17" x14ac:dyDescent="0.2">
      <c r="B35" s="22" t="s">
        <v>2419</v>
      </c>
      <c r="C35" s="23">
        <v>140000</v>
      </c>
      <c r="D35" s="23">
        <v>100000</v>
      </c>
      <c r="E35" s="12"/>
      <c r="F35" s="12"/>
      <c r="G35" s="12"/>
      <c r="H35" s="12"/>
      <c r="I35" s="12"/>
      <c r="J35" s="12"/>
      <c r="K35" s="14"/>
    </row>
    <row r="36" spans="2:11" ht="17" x14ac:dyDescent="0.2">
      <c r="B36" s="24" t="s">
        <v>2420</v>
      </c>
      <c r="C36" s="21" t="s">
        <v>2468</v>
      </c>
      <c r="D36" s="25" t="s">
        <v>2469</v>
      </c>
      <c r="E36" s="13"/>
      <c r="F36" s="13"/>
      <c r="G36" s="13"/>
      <c r="H36" s="13"/>
      <c r="I36" s="13"/>
      <c r="J36" s="13"/>
      <c r="K36" s="15"/>
    </row>
    <row r="37" spans="2:11" ht="85" x14ac:dyDescent="0.2">
      <c r="B37" s="24" t="s">
        <v>2466</v>
      </c>
      <c r="C37" s="21" t="s">
        <v>2467</v>
      </c>
      <c r="D37" s="25">
        <v>0</v>
      </c>
      <c r="E37" s="13"/>
      <c r="F37" s="13"/>
      <c r="G37" s="13"/>
      <c r="H37" s="13"/>
      <c r="I37" s="13"/>
      <c r="J37" s="13"/>
      <c r="K37" s="13"/>
    </row>
    <row r="38" spans="2:11" ht="17" x14ac:dyDescent="0.2">
      <c r="B38" s="22" t="s">
        <v>2421</v>
      </c>
      <c r="C38" s="26">
        <v>0</v>
      </c>
      <c r="D38" s="23">
        <v>30000</v>
      </c>
      <c r="E38" s="12"/>
      <c r="F38" s="12"/>
      <c r="G38" s="12"/>
      <c r="H38" s="12"/>
      <c r="I38" s="12"/>
      <c r="J38" s="12"/>
      <c r="K38" s="12"/>
    </row>
    <row r="39" spans="2:11" ht="17" x14ac:dyDescent="0.2">
      <c r="B39" s="24" t="s">
        <v>2423</v>
      </c>
      <c r="C39" s="25" t="s">
        <v>2424</v>
      </c>
      <c r="D39" s="25" t="s">
        <v>2451</v>
      </c>
      <c r="E39" s="13"/>
      <c r="F39" s="13"/>
      <c r="G39" s="13"/>
      <c r="H39" s="13"/>
      <c r="I39" s="13"/>
      <c r="J39" s="13"/>
      <c r="K39" s="13"/>
    </row>
    <row r="40" spans="2:11" ht="17" x14ac:dyDescent="0.2">
      <c r="B40" s="22" t="s">
        <v>2425</v>
      </c>
      <c r="C40" s="26" t="s">
        <v>2450</v>
      </c>
      <c r="D40" s="26" t="s">
        <v>2470</v>
      </c>
      <c r="E40" s="12"/>
      <c r="F40" s="12"/>
      <c r="G40" s="12"/>
      <c r="H40" s="12"/>
      <c r="I40" s="12"/>
      <c r="J40" s="12"/>
      <c r="K40" s="12"/>
    </row>
    <row r="41" spans="2:11" x14ac:dyDescent="0.2">
      <c r="B41" s="36" t="s">
        <v>2475</v>
      </c>
      <c r="C41" s="37"/>
      <c r="D41" s="37"/>
      <c r="E41" s="12"/>
      <c r="F41" s="12"/>
      <c r="G41" s="12"/>
      <c r="H41" s="12"/>
      <c r="I41" s="12"/>
      <c r="J41" s="12"/>
      <c r="K41" s="12"/>
    </row>
    <row r="42" spans="2:11" ht="34" x14ac:dyDescent="0.2">
      <c r="B42" s="24" t="s">
        <v>2471</v>
      </c>
      <c r="C42" s="27" t="s">
        <v>2428</v>
      </c>
      <c r="D42" s="25"/>
      <c r="E42" s="13"/>
      <c r="F42" s="13"/>
      <c r="G42" s="13"/>
      <c r="H42" s="13"/>
      <c r="I42" s="13"/>
      <c r="J42" s="13"/>
      <c r="K42" s="13"/>
    </row>
    <row r="43" spans="2:11" ht="102" x14ac:dyDescent="0.2">
      <c r="B43" s="22" t="s">
        <v>2472</v>
      </c>
      <c r="C43" s="26">
        <v>61</v>
      </c>
      <c r="D43" s="26" t="s">
        <v>2436</v>
      </c>
      <c r="E43" s="12"/>
      <c r="F43" s="12"/>
      <c r="G43" s="12"/>
      <c r="H43" s="12"/>
      <c r="I43" s="12"/>
      <c r="J43" s="12"/>
      <c r="K43" s="12"/>
    </row>
    <row r="44" spans="2:11" ht="34" x14ac:dyDescent="0.2">
      <c r="B44" s="24" t="s">
        <v>2473</v>
      </c>
      <c r="C44" s="28">
        <v>3.5</v>
      </c>
      <c r="D44" s="25" t="s">
        <v>2437</v>
      </c>
      <c r="E44" s="13"/>
      <c r="F44" s="13"/>
      <c r="G44" s="18"/>
      <c r="H44" s="13"/>
      <c r="I44" s="18"/>
      <c r="J44" s="13"/>
      <c r="K44" s="13"/>
    </row>
    <row r="45" spans="2:11" ht="34" x14ac:dyDescent="0.2">
      <c r="B45" s="22" t="s">
        <v>2474</v>
      </c>
      <c r="C45" s="26">
        <v>63</v>
      </c>
      <c r="D45" s="26" t="s">
        <v>2438</v>
      </c>
      <c r="E45" s="12"/>
      <c r="F45" s="12"/>
      <c r="G45" s="12"/>
      <c r="H45" s="12"/>
      <c r="I45" s="12"/>
      <c r="J45" s="12"/>
      <c r="K45" s="12"/>
    </row>
    <row r="46" spans="2:11" ht="68" x14ac:dyDescent="0.2">
      <c r="B46" s="22" t="s">
        <v>2480</v>
      </c>
      <c r="C46" s="26">
        <v>2.9</v>
      </c>
      <c r="D46" s="26" t="s">
        <v>2481</v>
      </c>
      <c r="E46" s="12"/>
      <c r="F46" s="12"/>
      <c r="G46" s="12"/>
      <c r="H46" s="12"/>
      <c r="I46" s="12"/>
      <c r="J46" s="12"/>
      <c r="K46" s="12"/>
    </row>
    <row r="47" spans="2:11" ht="51" x14ac:dyDescent="0.2">
      <c r="B47" s="24" t="s">
        <v>2476</v>
      </c>
      <c r="C47" s="25">
        <v>3</v>
      </c>
      <c r="D47" s="25" t="s">
        <v>2439</v>
      </c>
      <c r="E47" s="13"/>
      <c r="F47" s="13"/>
      <c r="G47" s="13"/>
      <c r="H47" s="13"/>
      <c r="I47" s="13"/>
      <c r="J47" s="13"/>
      <c r="K47" s="13"/>
    </row>
    <row r="48" spans="2:11" ht="17" x14ac:dyDescent="0.2">
      <c r="B48" s="22" t="s">
        <v>2477</v>
      </c>
      <c r="C48" s="26" t="s">
        <v>2446</v>
      </c>
      <c r="D48" s="26" t="s">
        <v>2445</v>
      </c>
      <c r="E48" s="12"/>
      <c r="F48" s="12"/>
      <c r="G48" s="12"/>
      <c r="H48" s="12"/>
      <c r="I48" s="12"/>
      <c r="J48" s="12"/>
      <c r="K48" s="12"/>
    </row>
    <row r="49" spans="2:11" ht="34" x14ac:dyDescent="0.2">
      <c r="B49" s="29" t="s">
        <v>2478</v>
      </c>
      <c r="C49" s="25"/>
      <c r="D49" s="25" t="s">
        <v>2479</v>
      </c>
      <c r="E49" s="13"/>
      <c r="F49" s="13"/>
      <c r="G49" s="13"/>
      <c r="H49" s="13"/>
      <c r="I49" s="13"/>
      <c r="J49" s="13"/>
      <c r="K49" s="13"/>
    </row>
    <row r="50" spans="2:11" x14ac:dyDescent="0.2">
      <c r="B50" s="30"/>
      <c r="C50" s="26"/>
      <c r="D50" s="26"/>
      <c r="E50" s="12"/>
      <c r="F50" s="12"/>
      <c r="G50" s="12"/>
      <c r="H50" s="12"/>
      <c r="I50" s="12"/>
      <c r="J50" s="12"/>
      <c r="K50" s="12"/>
    </row>
    <row r="51" spans="2:11" ht="34" x14ac:dyDescent="0.2">
      <c r="B51" s="29" t="s">
        <v>2455</v>
      </c>
      <c r="C51" s="25">
        <v>2.9</v>
      </c>
      <c r="D51" s="25">
        <v>1.7</v>
      </c>
      <c r="E51" s="13"/>
      <c r="F51" s="13"/>
      <c r="G51" s="13"/>
      <c r="H51" s="13"/>
      <c r="I51" s="13"/>
      <c r="J51" s="13"/>
      <c r="K51" s="13"/>
    </row>
    <row r="52" spans="2:11" ht="17" x14ac:dyDescent="0.2">
      <c r="B52" s="30"/>
      <c r="C52" s="26"/>
      <c r="D52" s="26" t="s">
        <v>2465</v>
      </c>
      <c r="E52" s="12"/>
      <c r="F52" s="12"/>
      <c r="G52" s="12"/>
      <c r="H52" s="12"/>
      <c r="I52" s="12"/>
      <c r="J52" s="12"/>
      <c r="K52" s="12"/>
    </row>
  </sheetData>
  <mergeCells count="1">
    <mergeCell ref="B41:D41"/>
  </mergeCells>
  <pageMargins left="0.7" right="0.7" top="0.75" bottom="0.75" header="0.3" footer="0.3"/>
  <pageSetup orientation="portrait" horizontalDpi="0" verticalDpi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C9A7BD-30D6-A943-B1E4-1EA1B3710C36}">
  <dimension ref="A1:D20"/>
  <sheetViews>
    <sheetView zoomScale="75" workbookViewId="0">
      <selection activeCell="D3" sqref="D3"/>
    </sheetView>
  </sheetViews>
  <sheetFormatPr baseColWidth="10" defaultRowHeight="16" x14ac:dyDescent="0.2"/>
  <cols>
    <col min="1" max="1" width="16" customWidth="1"/>
    <col min="2" max="2" width="10.6640625" bestFit="1" customWidth="1"/>
  </cols>
  <sheetData>
    <row r="1" spans="1:4" x14ac:dyDescent="0.2">
      <c r="A1" s="19" t="s">
        <v>2449</v>
      </c>
      <c r="B1" s="20" t="s">
        <v>2417</v>
      </c>
      <c r="C1" s="20" t="s">
        <v>2418</v>
      </c>
      <c r="D1" s="35" t="s">
        <v>2491</v>
      </c>
    </row>
    <row r="2" spans="1:4" ht="17" x14ac:dyDescent="0.2">
      <c r="A2" s="22" t="s">
        <v>2419</v>
      </c>
      <c r="B2" s="23">
        <v>140000</v>
      </c>
      <c r="C2" s="23">
        <v>100000</v>
      </c>
    </row>
    <row r="3" spans="1:4" ht="34" x14ac:dyDescent="0.2">
      <c r="A3" s="24" t="s">
        <v>2420</v>
      </c>
      <c r="B3" s="21" t="s">
        <v>2468</v>
      </c>
      <c r="C3" s="25" t="s">
        <v>2469</v>
      </c>
    </row>
    <row r="4" spans="1:4" ht="136" x14ac:dyDescent="0.2">
      <c r="A4" s="24" t="s">
        <v>2490</v>
      </c>
      <c r="B4" s="34">
        <v>23460</v>
      </c>
      <c r="C4" s="25">
        <v>0</v>
      </c>
    </row>
    <row r="5" spans="1:4" ht="17" x14ac:dyDescent="0.2">
      <c r="A5" s="22" t="s">
        <v>2421</v>
      </c>
      <c r="B5" s="26">
        <v>0</v>
      </c>
      <c r="C5" s="23">
        <f>21*3300</f>
        <v>69300</v>
      </c>
    </row>
    <row r="6" spans="1:4" ht="17" x14ac:dyDescent="0.2">
      <c r="A6" s="24" t="s">
        <v>2423</v>
      </c>
      <c r="B6" s="25" t="s">
        <v>2424</v>
      </c>
      <c r="C6" s="25" t="s">
        <v>2451</v>
      </c>
    </row>
    <row r="7" spans="1:4" ht="17" x14ac:dyDescent="0.2">
      <c r="A7" s="22" t="s">
        <v>2425</v>
      </c>
      <c r="B7" s="26" t="s">
        <v>2450</v>
      </c>
      <c r="C7" s="26" t="s">
        <v>2426</v>
      </c>
      <c r="D7" t="s">
        <v>2450</v>
      </c>
    </row>
    <row r="8" spans="1:4" ht="87" customHeight="1" x14ac:dyDescent="0.2">
      <c r="A8" s="36" t="s">
        <v>2488</v>
      </c>
      <c r="B8" s="37"/>
      <c r="C8" s="37"/>
    </row>
    <row r="9" spans="1:4" ht="85" x14ac:dyDescent="0.2">
      <c r="A9" s="22" t="s">
        <v>2472</v>
      </c>
      <c r="B9" s="31">
        <v>0.61</v>
      </c>
      <c r="C9" s="31">
        <v>0.76</v>
      </c>
      <c r="D9" s="11">
        <v>0.6</v>
      </c>
    </row>
    <row r="10" spans="1:4" ht="17" x14ac:dyDescent="0.2">
      <c r="A10" s="24" t="s">
        <v>2473</v>
      </c>
      <c r="B10" s="32">
        <v>3.5</v>
      </c>
      <c r="C10" s="25">
        <v>3.9</v>
      </c>
      <c r="D10">
        <v>3.6</v>
      </c>
    </row>
    <row r="11" spans="1:4" ht="17" x14ac:dyDescent="0.2">
      <c r="A11" s="22" t="s">
        <v>2474</v>
      </c>
      <c r="B11" s="31">
        <v>0.63</v>
      </c>
      <c r="C11" s="31">
        <v>0.69</v>
      </c>
      <c r="D11" s="11">
        <v>0.49</v>
      </c>
    </row>
    <row r="12" spans="1:4" ht="68" x14ac:dyDescent="0.2">
      <c r="A12" s="22" t="s">
        <v>2480</v>
      </c>
      <c r="B12" s="26" t="s">
        <v>2485</v>
      </c>
      <c r="C12" s="26" t="s">
        <v>2487</v>
      </c>
      <c r="D12" t="s">
        <v>2493</v>
      </c>
    </row>
    <row r="13" spans="1:4" ht="34" x14ac:dyDescent="0.2">
      <c r="A13" s="22" t="s">
        <v>2486</v>
      </c>
      <c r="B13" s="26">
        <v>3.7</v>
      </c>
      <c r="C13" s="26">
        <v>3.4</v>
      </c>
      <c r="D13">
        <v>3.6</v>
      </c>
    </row>
    <row r="14" spans="1:4" ht="34" x14ac:dyDescent="0.2">
      <c r="A14" s="24" t="s">
        <v>2476</v>
      </c>
      <c r="B14" s="25">
        <v>3</v>
      </c>
      <c r="C14" s="25">
        <v>3.9</v>
      </c>
      <c r="D14">
        <v>3.1</v>
      </c>
    </row>
    <row r="15" spans="1:4" ht="34" x14ac:dyDescent="0.2">
      <c r="A15" s="24" t="s">
        <v>2482</v>
      </c>
      <c r="B15" s="25" t="s">
        <v>2484</v>
      </c>
      <c r="C15" s="25" t="s">
        <v>2483</v>
      </c>
      <c r="D15" s="6" t="s">
        <v>2492</v>
      </c>
    </row>
    <row r="16" spans="1:4" ht="51" x14ac:dyDescent="0.2">
      <c r="A16" s="22" t="s">
        <v>2477</v>
      </c>
      <c r="B16" s="26" t="s">
        <v>2446</v>
      </c>
      <c r="C16" s="26" t="s">
        <v>2445</v>
      </c>
    </row>
    <row r="17" spans="1:3" ht="68" x14ac:dyDescent="0.2">
      <c r="A17" s="38" t="s">
        <v>2478</v>
      </c>
      <c r="B17" s="25"/>
      <c r="C17" s="25" t="s">
        <v>2479</v>
      </c>
    </row>
    <row r="18" spans="1:3" x14ac:dyDescent="0.2">
      <c r="A18" s="39"/>
      <c r="B18" s="26"/>
      <c r="C18" s="26"/>
    </row>
    <row r="19" spans="1:3" ht="51" x14ac:dyDescent="0.2">
      <c r="A19" s="40"/>
      <c r="B19" s="26"/>
      <c r="C19" s="26" t="s">
        <v>2465</v>
      </c>
    </row>
    <row r="20" spans="1:3" ht="272" x14ac:dyDescent="0.2">
      <c r="C20" s="33" t="s">
        <v>2489</v>
      </c>
    </row>
  </sheetData>
  <mergeCells count="2">
    <mergeCell ref="A8:C8"/>
    <mergeCell ref="A17:A19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2020_12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2021-01-13T16:35:00Z</cp:lastPrinted>
  <dcterms:created xsi:type="dcterms:W3CDTF">2021-01-12T00:08:26Z</dcterms:created>
  <dcterms:modified xsi:type="dcterms:W3CDTF">2021-02-28T18:58:33Z</dcterms:modified>
</cp:coreProperties>
</file>